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60" windowWidth="20115" windowHeight="8010" activeTab="1"/>
  </bookViews>
  <sheets>
    <sheet name="Data" sheetId="1" r:id="rId1"/>
    <sheet name="Dashboard" sheetId="7" r:id="rId2"/>
  </sheets>
  <definedNames>
    <definedName name="Slicer_Category">#N/A</definedName>
    <definedName name="Slicer_Dept">#N/A</definedName>
    <definedName name="Slicer_Hire_Type">#N/A</definedName>
    <definedName name="Slicer_Nationality">#N/A</definedName>
    <definedName name="Slicer_Section">#N/A</definedName>
    <definedName name="Slicer_Status">#N/A</definedName>
  </definedNames>
  <calcPr calcId="144525"/>
  <pivotCaches>
    <pivotCache cacheId="58"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P8" i="1" l="1"/>
  <c r="AP3" i="1"/>
  <c r="AP2" i="1"/>
  <c r="AP1" i="1"/>
  <c r="AP6" i="1"/>
  <c r="AP5" i="1"/>
  <c r="AP4" i="1"/>
  <c r="G3" i="7" l="1"/>
  <c r="A7" i="7"/>
  <c r="G7" i="7"/>
  <c r="K7" i="7"/>
  <c r="C7" i="7"/>
  <c r="AP7" i="1"/>
  <c r="C3" i="7" s="1"/>
  <c r="A3" i="7"/>
  <c r="K3" i="7"/>
</calcChain>
</file>

<file path=xl/sharedStrings.xml><?xml version="1.0" encoding="utf-8"?>
<sst xmlns="http://schemas.openxmlformats.org/spreadsheetml/2006/main" count="295" uniqueCount="103">
  <si>
    <t>Section</t>
  </si>
  <si>
    <t>Emp_ID</t>
  </si>
  <si>
    <t>Name</t>
  </si>
  <si>
    <t>Dept</t>
  </si>
  <si>
    <t>Category</t>
  </si>
  <si>
    <t>Level</t>
  </si>
  <si>
    <t>DOJ</t>
  </si>
  <si>
    <t>Status</t>
  </si>
  <si>
    <t>Resign_Date</t>
  </si>
  <si>
    <t>Month</t>
  </si>
  <si>
    <t>Open_Positions</t>
  </si>
  <si>
    <t>Filled_Positions</t>
  </si>
  <si>
    <t>Hire_Type</t>
  </si>
  <si>
    <t>Source</t>
  </si>
  <si>
    <t>Nationality</t>
  </si>
  <si>
    <t>OT_Hours</t>
  </si>
  <si>
    <t>Employee</t>
  </si>
  <si>
    <t>E001</t>
  </si>
  <si>
    <t>Production</t>
  </si>
  <si>
    <t>Non-Executive</t>
  </si>
  <si>
    <t>Active</t>
  </si>
  <si>
    <t>Turnover</t>
  </si>
  <si>
    <t>Resigned</t>
  </si>
  <si>
    <t>15/03/2026</t>
  </si>
  <si>
    <t>Recruitment</t>
  </si>
  <si>
    <t>Hiring</t>
  </si>
  <si>
    <t>Replacement</t>
  </si>
  <si>
    <t>Agency</t>
  </si>
  <si>
    <t>Overtime</t>
  </si>
  <si>
    <t>Total Employees</t>
  </si>
  <si>
    <t>Open Positions</t>
  </si>
  <si>
    <t>Ali Khan</t>
  </si>
  <si>
    <t>L1</t>
  </si>
  <si>
    <t>E002</t>
  </si>
  <si>
    <t>Ahmed Raza</t>
  </si>
  <si>
    <t>Finance</t>
  </si>
  <si>
    <t>Executive</t>
  </si>
  <si>
    <t>L2</t>
  </si>
  <si>
    <t>15/03/2024</t>
  </si>
  <si>
    <t>E003</t>
  </si>
  <si>
    <t>Sara Malik</t>
  </si>
  <si>
    <t>HR</t>
  </si>
  <si>
    <t>Manager</t>
  </si>
  <si>
    <t>L3</t>
  </si>
  <si>
    <t>E004</t>
  </si>
  <si>
    <t>Hassan Ali</t>
  </si>
  <si>
    <t>IT</t>
  </si>
  <si>
    <t>20/05/2024</t>
  </si>
  <si>
    <t>E005</t>
  </si>
  <si>
    <t>Ayesha Noor</t>
  </si>
  <si>
    <t>Sales</t>
  </si>
  <si>
    <t>E006</t>
  </si>
  <si>
    <t>Usman Tariq</t>
  </si>
  <si>
    <t>Logistics</t>
  </si>
  <si>
    <t>25/08/2024</t>
  </si>
  <si>
    <t>E007</t>
  </si>
  <si>
    <t>Zain Sheikh</t>
  </si>
  <si>
    <t>E008</t>
  </si>
  <si>
    <t>Fatima Zahra</t>
  </si>
  <si>
    <t>QA</t>
  </si>
  <si>
    <t>E009</t>
  </si>
  <si>
    <t>Imran Shah</t>
  </si>
  <si>
    <t>E010</t>
  </si>
  <si>
    <t>Nadia Khan</t>
  </si>
  <si>
    <t>20/02/2026</t>
  </si>
  <si>
    <t>E011</t>
  </si>
  <si>
    <t>Rizwan Ali</t>
  </si>
  <si>
    <t>E012</t>
  </si>
  <si>
    <t>Kamran Iqbal</t>
  </si>
  <si>
    <t>New</t>
  </si>
  <si>
    <t>Pakistani</t>
  </si>
  <si>
    <t>E013</t>
  </si>
  <si>
    <t>Hina Akhtar</t>
  </si>
  <si>
    <t>Referral</t>
  </si>
  <si>
    <t>E014</t>
  </si>
  <si>
    <t>Omar Farooq</t>
  </si>
  <si>
    <t>Walk-in</t>
  </si>
  <si>
    <t>E015</t>
  </si>
  <si>
    <t>Sana Tariq</t>
  </si>
  <si>
    <t>Jobstreet</t>
  </si>
  <si>
    <t>Indian</t>
  </si>
  <si>
    <t>E016</t>
  </si>
  <si>
    <t>Bilal Ahmed</t>
  </si>
  <si>
    <t>Bangladeshi</t>
  </si>
  <si>
    <t>E017</t>
  </si>
  <si>
    <t>Maria Khan</t>
  </si>
  <si>
    <t>Filled Positions</t>
  </si>
  <si>
    <t>Resignations</t>
  </si>
  <si>
    <t>Row Labels</t>
  </si>
  <si>
    <t>(blank)</t>
  </si>
  <si>
    <t>Grand Total</t>
  </si>
  <si>
    <t>Count of Emp_ID</t>
  </si>
  <si>
    <t>Column Labels</t>
  </si>
  <si>
    <t>Sum of Open_Positions</t>
  </si>
  <si>
    <t>Sum of Filled_Positions</t>
  </si>
  <si>
    <t>Count of Hire_Type</t>
  </si>
  <si>
    <t>Monthly Salary</t>
  </si>
  <si>
    <t>Count of Nationality</t>
  </si>
  <si>
    <t>Local Employees</t>
  </si>
  <si>
    <t>Foreign Employees</t>
  </si>
  <si>
    <t>Work Quota Permit</t>
  </si>
  <si>
    <t>Sum of Work Quota Permit</t>
  </si>
  <si>
    <t>Work Permit Data</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</si>
</sst>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Rockwell"/>
      <family val="2"/>
      <scheme val="minor"/>
    </font>
    <font>
      <b/>
      <sz val="11"/>
      <color theme="1"/>
      <name val="Rockwell"/>
      <family val="2"/>
      <scheme val="minor"/>
    </font>
    <font>
      <b/>
      <sz val="18"/>
      <color theme="1"/>
      <name val="Rockwell"/>
      <family val="2"/>
      <scheme val="minor"/>
    </font>
    <font>
      <b/>
      <sz val="24"/>
      <color theme="0"/>
      <name val="Rockwell"/>
      <family val="2"/>
      <scheme val="minor"/>
    </font>
    <font>
      <b/>
      <sz val="24"/>
      <color theme="2"/>
      <name val="Rockwell"/>
      <family val="2"/>
      <scheme val="minor"/>
    </font>
    <font>
      <b/>
      <sz val="48"/>
      <color theme="0"/>
      <name val="Rockwell"/>
      <family val="2"/>
      <scheme val="minor"/>
    </font>
    <font>
      <sz val="12"/>
      <color theme="1"/>
      <name val="Rockwell"/>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4" tint="0.59999389629810485"/>
        <bgColor indexed="64"/>
      </patternFill>
    </fill>
  </fills>
  <borders count="9">
    <border>
      <left/>
      <right/>
      <top/>
      <bottom/>
      <diagonal/>
    </border>
    <border>
      <left style="thick">
        <color theme="2"/>
      </left>
      <right/>
      <top/>
      <bottom/>
      <diagonal/>
    </border>
    <border>
      <left style="thick">
        <color theme="2"/>
      </left>
      <right/>
      <top/>
      <bottom style="thick">
        <color theme="2"/>
      </bottom>
      <diagonal/>
    </border>
    <border>
      <left/>
      <right/>
      <top/>
      <bottom style="thick">
        <color theme="2"/>
      </bottom>
      <diagonal/>
    </border>
    <border>
      <left/>
      <right style="thick">
        <color theme="2"/>
      </right>
      <top/>
      <bottom/>
      <diagonal/>
    </border>
    <border>
      <left/>
      <right style="thick">
        <color theme="2"/>
      </right>
      <top/>
      <bottom style="thick">
        <color theme="2"/>
      </bottom>
      <diagonal/>
    </border>
    <border>
      <left style="thick">
        <color theme="2"/>
      </left>
      <right/>
      <top style="thick">
        <color theme="2"/>
      </top>
      <bottom/>
      <diagonal/>
    </border>
    <border>
      <left/>
      <right/>
      <top style="thick">
        <color theme="2"/>
      </top>
      <bottom/>
      <diagonal/>
    </border>
    <border>
      <left/>
      <right style="thick">
        <color theme="2"/>
      </right>
      <top style="thick">
        <color theme="2"/>
      </top>
      <bottom/>
      <diagonal/>
    </border>
  </borders>
  <cellStyleXfs count="1">
    <xf numFmtId="0" fontId="0" fillId="0" borderId="0"/>
  </cellStyleXfs>
  <cellXfs count="3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3" borderId="0" xfId="0" applyFill="1"/>
    <xf numFmtId="0" fontId="0" fillId="3" borderId="0" xfId="0" applyFill="1" applyBorder="1"/>
    <xf numFmtId="0" fontId="0" fillId="3" borderId="3" xfId="0" applyFill="1" applyBorder="1"/>
    <xf numFmtId="0" fontId="4" fillId="3" borderId="0" xfId="0" applyFont="1" applyFill="1" applyBorder="1" applyAlignment="1">
      <alignment vertical="center"/>
    </xf>
    <xf numFmtId="0" fontId="4" fillId="3" borderId="3"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4" borderId="0" xfId="0" applyFont="1" applyFill="1" applyBorder="1" applyAlignment="1">
      <alignment vertical="center"/>
    </xf>
    <xf numFmtId="0" fontId="2" fillId="4" borderId="4" xfId="0" applyFont="1" applyFill="1" applyBorder="1" applyAlignment="1">
      <alignment vertical="center"/>
    </xf>
    <xf numFmtId="0" fontId="2" fillId="4" borderId="3" xfId="0" applyFont="1" applyFill="1" applyBorder="1" applyAlignment="1">
      <alignment vertical="center"/>
    </xf>
    <xf numFmtId="0" fontId="2" fillId="4" borderId="5" xfId="0" applyFont="1" applyFill="1" applyBorder="1" applyAlignment="1">
      <alignment vertical="center"/>
    </xf>
    <xf numFmtId="0" fontId="0" fillId="3" borderId="7" xfId="0" applyFill="1" applyBorder="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3" borderId="0" xfId="0" applyFont="1" applyFill="1" applyBorder="1" applyAlignment="1">
      <alignment vertical="center"/>
    </xf>
    <xf numFmtId="0" fontId="3" fillId="3" borderId="3" xfId="0" applyFont="1" applyFill="1" applyBorder="1" applyAlignment="1">
      <alignment vertical="center"/>
    </xf>
    <xf numFmtId="0" fontId="5" fillId="2" borderId="0" xfId="0" applyFont="1" applyFill="1" applyBorder="1" applyAlignment="1">
      <alignment horizontal="center" vertical="center"/>
    </xf>
    <xf numFmtId="0" fontId="5" fillId="2" borderId="3" xfId="0" applyFont="1" applyFill="1" applyBorder="1" applyAlignment="1">
      <alignment horizontal="center" vertical="center"/>
    </xf>
    <xf numFmtId="3" fontId="0" fillId="0" borderId="0" xfId="0" applyNumberFormat="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6" fillId="0" borderId="0" xfId="0" applyFont="1"/>
    <xf numFmtId="14" fontId="6" fillId="0" borderId="0" xfId="0" applyNumberFormat="1" applyFont="1"/>
    <xf numFmtId="3" fontId="6" fillId="0" borderId="0" xfId="0" applyNumberFormat="1" applyFont="1"/>
    <xf numFmtId="16" fontId="6" fillId="0" borderId="0" xfId="0" applyNumberFormat="1" applyFont="1"/>
  </cellXfs>
  <cellStyles count="1">
    <cellStyle name="Normal" xfId="0" builtinId="0"/>
  </cellStyles>
  <dxfs count="19">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numFmt numFmtId="3" formatCode="#,##0"/>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
      <font>
        <strike val="0"/>
        <outline val="0"/>
        <shadow val="0"/>
        <u val="none"/>
        <vertAlign val="baseline"/>
        <sz val="12"/>
        <color theme="1"/>
        <name val="Rockwel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[HRApproval.xlsx]Dashboard!PivotTable1</c:name>
    <c:fmtId val="0"/>
  </c:pivotSource>
  <c:chart>
    <c:title>
      <c:tx>
        <c:rich>
          <a:bodyPr/>
          <a:lstStyle/>
          <a:p>
            <a:pPr>
              <a:defRPr/>
            </a:pPr>
            <a:r>
              <a:rPr lang="en-US"/>
              <a:t>Employees by Department</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pivotFmt>
    </c:pivotFmts>
    <c:plotArea>
      <c:layout/>
      <c:barChart>
        <c:barDir val="col"/>
        <c:grouping val="clustered"/>
        <c:varyColors val="0"/>
        <c:ser>
          <c:idx val="0"/>
          <c:order val="0"/>
          <c:tx>
            <c:strRef>
              <c:f>Dashboard!$AU$1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Dashboard!$AT$2:$AT$10</c:f>
              <c:strCache>
                <c:ptCount val="8"/>
                <c:pt idx="0">
                  <c:v>Finance</c:v>
                </c:pt>
                <c:pt idx="1">
                  <c:v>HR</c:v>
                </c:pt>
                <c:pt idx="2">
                  <c:v>IT</c:v>
                </c:pt>
                <c:pt idx="3">
                  <c:v>Logistics</c:v>
                </c:pt>
                <c:pt idx="4">
                  <c:v>Production</c:v>
                </c:pt>
                <c:pt idx="5">
                  <c:v>QA</c:v>
                </c:pt>
                <c:pt idx="6">
                  <c:v>Sales</c:v>
                </c:pt>
                <c:pt idx="7">
                  <c:v>(blank)</c:v>
                </c:pt>
              </c:strCache>
            </c:strRef>
          </c:cat>
          <c:val>
            <c:numRef>
              <c:f>Dashboard!$AU$2:$AU$10</c:f>
              <c:numCache>
                <c:formatCode>General</c:formatCode>
                <c:ptCount val="8"/>
                <c:pt idx="0">
                  <c:v>4</c:v>
                </c:pt>
                <c:pt idx="1">
                  <c:v>2</c:v>
                </c:pt>
                <c:pt idx="2">
                  <c:v>3</c:v>
                </c:pt>
                <c:pt idx="3">
                  <c:v>2</c:v>
                </c:pt>
                <c:pt idx="4">
                  <c:v>7</c:v>
                </c:pt>
                <c:pt idx="5">
                  <c:v>3</c:v>
                </c:pt>
                <c:pt idx="6">
                  <c:v>4</c:v>
                </c:pt>
              </c:numCache>
            </c:numRef>
          </c:val>
        </c:ser>
        <c:dLbls>
          <c:showLegendKey val="0"/>
          <c:showVal val="1"/>
          <c:showCatName val="0"/>
          <c:showSerName val="0"/>
          <c:showPercent val="0"/>
          <c:showBubbleSize val="0"/>
        </c:dLbls>
        <c:gapWidth val="150"/>
        <c:overlap val="-25"/>
        <c:axId val="204724096"/>
        <c:axId val="219214592"/>
      </c:barChart>
      <c:catAx>
        <c:axId val="204724096"/>
        <c:scaling>
          <c:orientation val="minMax"/>
        </c:scaling>
        <c:delete val="0"/>
        <c:axPos val="b"/>
        <c:majorTickMark val="none"/>
        <c:minorTickMark val="none"/>
        <c:tickLblPos val="nextTo"/>
        <c:crossAx val="219214592"/>
        <c:crosses val="autoZero"/>
        <c:auto val="1"/>
        <c:lblAlgn val="ctr"/>
        <c:lblOffset val="100"/>
        <c:noMultiLvlLbl val="0"/>
      </c:catAx>
      <c:valAx>
        <c:axId val="219214592"/>
        <c:scaling>
          <c:orientation val="minMax"/>
        </c:scaling>
        <c:delete val="1"/>
        <c:axPos val="l"/>
        <c:numFmt formatCode="General" sourceLinked="1"/>
        <c:majorTickMark val="none"/>
        <c:minorTickMark val="none"/>
        <c:tickLblPos val="nextTo"/>
        <c:crossAx val="204724096"/>
        <c:crosses val="autoZero"/>
        <c:crossBetween val="between"/>
      </c:valAx>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lotArea>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[HRApproval.xlsx]Dashboard!PivotTable2</c:name>
    <c:fmtId val="0"/>
  </c:pivotSource>
  <c:chart>
    <c:autoTitleDeleted val="1"/>
    <c:pivotFmts>
      <c:pivotFmt>
        <c:idx val="0"/>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doughnutChart>
        <c:varyColors val="1"/>
        <c:ser>
          <c:idx val="0"/>
          <c:order val="0"/>
          <c:tx>
            <c:strRef>
              <c:f>Dashboard!$AZ$3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Dashboard!$AY$4:$AY$10</c:f>
              <c:strCache>
                <c:ptCount val="6"/>
                <c:pt idx="0">
                  <c:v>Employee</c:v>
                </c:pt>
                <c:pt idx="1">
                  <c:v>Hiring</c:v>
                </c:pt>
                <c:pt idx="2">
                  <c:v>Overtime</c:v>
                </c:pt>
                <c:pt idx="3">
                  <c:v>Recruitment</c:v>
                </c:pt>
                <c:pt idx="4">
                  <c:v>Turnover</c:v>
                </c:pt>
                <c:pt idx="5">
                  <c:v>(blank)</c:v>
                </c:pt>
              </c:strCache>
            </c:strRef>
          </c:cat>
          <c:val>
            <c:numRef>
              <c:f>Dashboard!$AZ$4:$AZ$10</c:f>
              <c:numCache>
                <c:formatCode>General</c:formatCode>
                <c:ptCount val="6"/>
                <c:pt idx="0">
                  <c:v>8</c:v>
                </c:pt>
                <c:pt idx="1">
                  <c:v>6</c:v>
                </c:pt>
                <c:pt idx="2">
                  <c:v>8</c:v>
                </c:pt>
                <c:pt idx="4">
                  <c:v>3</c:v>
                </c:pt>
              </c:numCache>
            </c:numRef>
          </c:val>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[HRApproval.xlsx]Dashboard!PivotTable7</c:name>
    <c:fmtId val="1"/>
  </c:pivotSource>
  <c:chart>
    <c:title>
      <c:tx>
        <c:rich>
          <a:bodyPr/>
          <a:lstStyle/>
          <a:p>
            <a:pPr>
              <a:defRPr/>
            </a:pPr>
            <a:r>
              <a:rPr lang="en-US"/>
              <a:t>Employees by Category</a:t>
            </a:r>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Dashboard!$BD$1</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Dashboard!$BC$2:$BC$6</c:f>
              <c:strCache>
                <c:ptCount val="4"/>
                <c:pt idx="0">
                  <c:v>Executive</c:v>
                </c:pt>
                <c:pt idx="1">
                  <c:v>Manager</c:v>
                </c:pt>
                <c:pt idx="2">
                  <c:v>Non-Executive</c:v>
                </c:pt>
                <c:pt idx="3">
                  <c:v>(blank)</c:v>
                </c:pt>
              </c:strCache>
            </c:strRef>
          </c:cat>
          <c:val>
            <c:numRef>
              <c:f>Dashboard!$BD$2:$BD$6</c:f>
              <c:numCache>
                <c:formatCode>General</c:formatCode>
                <c:ptCount val="4"/>
                <c:pt idx="0">
                  <c:v>6</c:v>
                </c:pt>
                <c:pt idx="1">
                  <c:v>1</c:v>
                </c:pt>
                <c:pt idx="2">
                  <c:v>10</c:v>
                </c:pt>
                <c:pt idx="3">
                  <c:v>8</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US"/>
              <a:t>Open vs</a:t>
            </a:r>
            <a:r>
              <a:rPr lang="en-US" baseline="0"/>
              <a:t> Filled Positions</a:t>
            </a:r>
            <a:endParaRPr lang="en-US"/>
          </a:p>
        </c:rich>
      </c:tx>
      <c:layout/>
      <c:overlay val="0"/>
    </c:title>
    <c:autoTitleDeleted val="0"/>
    <c:plotArea>
      <c:layout/>
      <c:pieChart>
        <c:varyColors val="1"/>
        <c:ser>
          <c:idx val="0"/>
          <c:order val="0"/>
          <c:dLbls>
            <c:showLegendKey val="0"/>
            <c:showVal val="0"/>
            <c:showCatName val="0"/>
            <c:showSerName val="0"/>
            <c:showPercent val="1"/>
            <c:showBubbleSize val="0"/>
            <c:showLeaderLines val="1"/>
          </c:dLbls>
          <c:cat>
            <c:strRef>
              <c:f>Data!$AO$2:$AO$3</c:f>
              <c:strCache>
                <c:ptCount val="2"/>
                <c:pt idx="0">
                  <c:v>Open Positions</c:v>
                </c:pt>
                <c:pt idx="1">
                  <c:v>Filled Positions</c:v>
                </c:pt>
              </c:strCache>
            </c:strRef>
          </c:cat>
          <c:val>
            <c:numRef>
              <c:f>Data!$AP$2:$AP$3</c:f>
              <c:numCache>
                <c:formatCode>General</c:formatCode>
                <c:ptCount val="2"/>
                <c:pt idx="0">
                  <c:v>158</c:v>
                </c:pt>
                <c:pt idx="1">
                  <c:v>102</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Hiring vs Resignation Trend</a:t>
            </a:r>
          </a:p>
        </c:rich>
      </c:tx>
      <c:layout/>
      <c:overlay val="0"/>
    </c:title>
    <c:autoTitleDeleted val="0"/>
    <c:plotArea>
      <c:layout/>
      <c:barChart>
        <c:barDir val="col"/>
        <c:grouping val="clustered"/>
        <c:varyColors val="0"/>
        <c:ser>
          <c:idx val="0"/>
          <c:order val="0"/>
          <c:invertIfNegative val="0"/>
          <c:cat>
            <c:strRef>
              <c:f>Data!$AO$5:$AO$6</c:f>
              <c:strCache>
                <c:ptCount val="2"/>
                <c:pt idx="0">
                  <c:v>Resignations</c:v>
                </c:pt>
                <c:pt idx="1">
                  <c:v>Hiring</c:v>
                </c:pt>
              </c:strCache>
            </c:strRef>
          </c:cat>
          <c:val>
            <c:numRef>
              <c:f>Data!$AP$5:$AP$6</c:f>
              <c:numCache>
                <c:formatCode>0</c:formatCode>
                <c:ptCount val="2"/>
                <c:pt idx="0" formatCode="General">
                  <c:v>3</c:v>
                </c:pt>
                <c:pt idx="1">
                  <c:v>6</c:v>
                </c:pt>
              </c:numCache>
            </c:numRef>
          </c:val>
        </c:ser>
        <c:dLbls>
          <c:showLegendKey val="0"/>
          <c:showVal val="1"/>
          <c:showCatName val="0"/>
          <c:showSerName val="0"/>
          <c:showPercent val="0"/>
          <c:showBubbleSize val="0"/>
        </c:dLbls>
        <c:gapWidth val="150"/>
        <c:overlap val="-25"/>
        <c:axId val="219979136"/>
        <c:axId val="219997312"/>
      </c:barChart>
      <c:catAx>
        <c:axId val="219979136"/>
        <c:scaling>
          <c:orientation val="minMax"/>
        </c:scaling>
        <c:delete val="0"/>
        <c:axPos val="b"/>
        <c:majorTickMark val="none"/>
        <c:minorTickMark val="none"/>
        <c:tickLblPos val="nextTo"/>
        <c:crossAx val="219997312"/>
        <c:crosses val="autoZero"/>
        <c:auto val="1"/>
        <c:lblAlgn val="ctr"/>
        <c:lblOffset val="100"/>
        <c:noMultiLvlLbl val="0"/>
      </c:catAx>
      <c:valAx>
        <c:axId val="219997312"/>
        <c:scaling>
          <c:orientation val="minMax"/>
        </c:scaling>
        <c:delete val="1"/>
        <c:axPos val="l"/>
        <c:numFmt formatCode="General" sourceLinked="1"/>
        <c:majorTickMark val="out"/>
        <c:minorTickMark val="none"/>
        <c:tickLblPos val="nextTo"/>
        <c:crossAx val="219979136"/>
        <c:crosses val="autoZero"/>
        <c:crossBetween val="between"/>
      </c:valAx>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lotArea>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[HRApproval.xlsx]Dashboard!PivotTable6</c:name>
    <c:fmtId val="2"/>
  </c:pivotSource>
  <c:chart>
    <c:title>
      <c:tx>
        <c:rich>
          <a:bodyPr/>
          <a:lstStyle/>
          <a:p>
            <a:pPr>
              <a:defRPr/>
            </a:pPr>
            <a:r>
              <a:rPr lang="en-US"/>
              <a:t>Employees by Nationality</a:t>
            </a:r>
          </a:p>
        </c:rich>
      </c:tx>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spPr/>
          <c:txPr>
            <a:bodyPr/>
            <a:lstStyle/>
            <a:p>
              <a:pPr>
                <a:defRPr/>
              </a:pPr>
              <a:endParaRPr lang="en-US"/>
            </a:p>
          </c:txPr>
          <c:showLegendKey val="0"/>
          <c:showVal val="1"/>
          <c:showCatName val="0"/>
          <c:showSerName val="0"/>
          <c:showPercent val="0"/>
          <c:showBubbleSize val="0"/>
        </c:dLbl>
      </c:pivotFmt>
      <c:pivotFmt>
        <c:idx val="2"/>
        <c:dLbl>
          <c:idx val="0"/>
          <c:spPr/>
          <c:txPr>
            <a:bodyPr/>
            <a:lstStyle/>
            <a:p>
              <a:pPr>
                <a:defRPr/>
              </a:pPr>
              <a:endParaRPr lang="en-US"/>
            </a:p>
          </c:txPr>
          <c:showLegendKey val="0"/>
          <c:showVal val="1"/>
          <c:showCatName val="0"/>
          <c:showSerName val="0"/>
          <c:showPercent val="0"/>
          <c:showBubbleSize val="0"/>
        </c:dLbl>
      </c:pivotFmt>
      <c:pivotFmt>
        <c:idx val="3"/>
      </c:pivotFmt>
      <c:pivotFmt>
        <c:idx val="4"/>
      </c:pivotFmt>
      <c:pivotFmt>
        <c:idx val="5"/>
      </c:pivotFmt>
      <c:pivotFmt>
        <c:idx val="6"/>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3"/>
        <c:marker>
          <c:symbol val="none"/>
        </c:marker>
        <c:dLbl>
          <c:idx val="0"/>
          <c:spPr/>
          <c:txPr>
            <a:bodyPr/>
            <a:lstStyle/>
            <a:p>
              <a:pPr>
                <a:defRPr/>
              </a:pPr>
              <a:endParaRPr lang="en-US"/>
            </a:p>
          </c:txPr>
          <c:showLegendKey val="0"/>
          <c:showVal val="1"/>
          <c:showCatName val="0"/>
          <c:showSerName val="0"/>
          <c:showPercent val="0"/>
          <c:showBubbleSize val="0"/>
        </c:dLbl>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1"/>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Dashboard!$BN$1:$BN$2</c:f>
              <c:strCache>
                <c:ptCount val="1"/>
                <c:pt idx="0">
                  <c:v>Bangladeshi</c:v>
                </c:pt>
              </c:strCache>
            </c:strRef>
          </c:tx>
          <c:invertIfNegative val="0"/>
          <c:dLbls>
            <c:delete val="1"/>
          </c:dLbls>
          <c:cat>
            <c:strRef>
              <c:f>Dashboard!$BM$3:$BM$9</c:f>
              <c:strCache>
                <c:ptCount val="6"/>
                <c:pt idx="0">
                  <c:v>Employee</c:v>
                </c:pt>
                <c:pt idx="1">
                  <c:v>Hiring</c:v>
                </c:pt>
                <c:pt idx="2">
                  <c:v>Overtime</c:v>
                </c:pt>
                <c:pt idx="3">
                  <c:v>Recruitment</c:v>
                </c:pt>
                <c:pt idx="4">
                  <c:v>Turnover</c:v>
                </c:pt>
                <c:pt idx="5">
                  <c:v>(blank)</c:v>
                </c:pt>
              </c:strCache>
            </c:strRef>
          </c:cat>
          <c:val>
            <c:numRef>
              <c:f>Dashboard!$BN$3:$BN$9</c:f>
              <c:numCache>
                <c:formatCode>General</c:formatCode>
                <c:ptCount val="6"/>
                <c:pt idx="0">
                  <c:v>2</c:v>
                </c:pt>
                <c:pt idx="1">
                  <c:v>1</c:v>
                </c:pt>
              </c:numCache>
            </c:numRef>
          </c:val>
        </c:ser>
        <c:ser>
          <c:idx val="1"/>
          <c:order val="1"/>
          <c:tx>
            <c:strRef>
              <c:f>Dashboard!$BO$1:$BO$2</c:f>
              <c:strCache>
                <c:ptCount val="1"/>
                <c:pt idx="0">
                  <c:v>Indian</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Dashboard!$BM$3:$BM$9</c:f>
              <c:strCache>
                <c:ptCount val="6"/>
                <c:pt idx="0">
                  <c:v>Employee</c:v>
                </c:pt>
                <c:pt idx="1">
                  <c:v>Hiring</c:v>
                </c:pt>
                <c:pt idx="2">
                  <c:v>Overtime</c:v>
                </c:pt>
                <c:pt idx="3">
                  <c:v>Recruitment</c:v>
                </c:pt>
                <c:pt idx="4">
                  <c:v>Turnover</c:v>
                </c:pt>
                <c:pt idx="5">
                  <c:v>(blank)</c:v>
                </c:pt>
              </c:strCache>
            </c:strRef>
          </c:cat>
          <c:val>
            <c:numRef>
              <c:f>Dashboard!$BO$3:$BO$9</c:f>
              <c:numCache>
                <c:formatCode>General</c:formatCode>
                <c:ptCount val="6"/>
                <c:pt idx="0">
                  <c:v>2</c:v>
                </c:pt>
                <c:pt idx="1">
                  <c:v>1</c:v>
                </c:pt>
              </c:numCache>
            </c:numRef>
          </c:val>
        </c:ser>
        <c:ser>
          <c:idx val="2"/>
          <c:order val="2"/>
          <c:tx>
            <c:strRef>
              <c:f>Dashboard!$BP$1:$BP$2</c:f>
              <c:strCache>
                <c:ptCount val="1"/>
                <c:pt idx="0">
                  <c:v>Pakistani</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Dashboard!$BM$3:$BM$9</c:f>
              <c:strCache>
                <c:ptCount val="6"/>
                <c:pt idx="0">
                  <c:v>Employee</c:v>
                </c:pt>
                <c:pt idx="1">
                  <c:v>Hiring</c:v>
                </c:pt>
                <c:pt idx="2">
                  <c:v>Overtime</c:v>
                </c:pt>
                <c:pt idx="3">
                  <c:v>Recruitment</c:v>
                </c:pt>
                <c:pt idx="4">
                  <c:v>Turnover</c:v>
                </c:pt>
                <c:pt idx="5">
                  <c:v>(blank)</c:v>
                </c:pt>
              </c:strCache>
            </c:strRef>
          </c:cat>
          <c:val>
            <c:numRef>
              <c:f>Dashboard!$BP$3:$BP$9</c:f>
              <c:numCache>
                <c:formatCode>General</c:formatCode>
                <c:ptCount val="6"/>
                <c:pt idx="0">
                  <c:v>4</c:v>
                </c:pt>
                <c:pt idx="1">
                  <c:v>4</c:v>
                </c:pt>
              </c:numCache>
            </c:numRef>
          </c:val>
        </c:ser>
        <c:ser>
          <c:idx val="3"/>
          <c:order val="3"/>
          <c:tx>
            <c:strRef>
              <c:f>Dashboard!$BQ$1:$BQ$2</c:f>
              <c:strCache>
                <c:ptCount val="1"/>
                <c:pt idx="0">
                  <c:v>(blank)</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Dashboard!$BM$3:$BM$9</c:f>
              <c:strCache>
                <c:ptCount val="6"/>
                <c:pt idx="0">
                  <c:v>Employee</c:v>
                </c:pt>
                <c:pt idx="1">
                  <c:v>Hiring</c:v>
                </c:pt>
                <c:pt idx="2">
                  <c:v>Overtime</c:v>
                </c:pt>
                <c:pt idx="3">
                  <c:v>Recruitment</c:v>
                </c:pt>
                <c:pt idx="4">
                  <c:v>Turnover</c:v>
                </c:pt>
                <c:pt idx="5">
                  <c:v>(blank)</c:v>
                </c:pt>
              </c:strCache>
            </c:strRef>
          </c:cat>
          <c:val>
            <c:numRef>
              <c:f>Dashboard!$BQ$3:$BQ$9</c:f>
              <c:numCache>
                <c:formatCode>General</c:formatCode>
                <c:ptCount val="6"/>
              </c:numCache>
            </c:numRef>
          </c:val>
        </c:ser>
        <c:dLbls>
          <c:showLegendKey val="0"/>
          <c:showVal val="1"/>
          <c:showCatName val="0"/>
          <c:showSerName val="0"/>
          <c:showPercent val="0"/>
          <c:showBubbleSize val="0"/>
        </c:dLbls>
        <c:gapWidth val="150"/>
        <c:overlap val="-25"/>
        <c:axId val="220212224"/>
        <c:axId val="220214016"/>
      </c:barChart>
      <c:catAx>
        <c:axId val="220212224"/>
        <c:scaling>
          <c:orientation val="minMax"/>
        </c:scaling>
        <c:delete val="0"/>
        <c:axPos val="b"/>
        <c:majorTickMark val="none"/>
        <c:minorTickMark val="none"/>
        <c:tickLblPos val="nextTo"/>
        <c:crossAx val="220214016"/>
        <c:crosses val="autoZero"/>
        <c:auto val="1"/>
        <c:lblAlgn val="ctr"/>
        <c:lblOffset val="100"/>
        <c:noMultiLvlLbl val="0"/>
      </c:catAx>
      <c:valAx>
        <c:axId val="220214016"/>
        <c:scaling>
          <c:orientation val="minMax"/>
        </c:scaling>
        <c:delete val="1"/>
        <c:axPos val="l"/>
        <c:numFmt formatCode="General" sourceLinked="1"/>
        <c:majorTickMark val="none"/>
        <c:minorTickMark val="none"/>
        <c:tickLblPos val="nextTo"/>
        <c:crossAx val="220212224"/>
        <c:crosses val="autoZero"/>
        <c:crossBetween val="between"/>
      </c:valAx>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lotArea>
    <c:legend>
      <c:legendPos val="t"/>
      <c:layout/>
      <c:overlay val="0"/>
    </c:legend>
    <c:plotVisOnly val="1"/>
    <c:dispBlanksAs val="gap"/>
    <c:showDLblsOverMax val="0"/>
  </c:chart>
  <c:spPr>
    <a:gradFill>
      <a:gsLst>
        <a:gs pos="0">
          <a:schemeClr val="accent1">
            <a:lumMod val="20000"/>
            <a:lumOff val="8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2485</xdr:colOff>
      <xdr:row>1</xdr:row>
      <xdr:rowOff>355323</xdr:rowOff>
    </xdr:from>
    <xdr:to>
      <xdr:col>14</xdr:col>
      <xdr:colOff>453059</xdr:colOff>
      <xdr:row>8</xdr:row>
      <xdr:rowOff>171449</xdr:rowOff>
    </xdr:to>
    <mc:AlternateContent xmlns:mc="http://schemas.openxmlformats.org/markup-compatibility/2006" xmlns:a14="http://schemas.microsoft.com/office/drawing/2010/main">
      <mc:Choice Requires="a14">
        <xdr:graphicFrame macro="">
          <xdr:nvGraphicFramePr>
            <xdr:cNvPr id="2" name="Dept"/>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9470335" y="879198"/>
              <a:ext cx="1822174" cy="14830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12839</xdr:colOff>
      <xdr:row>8</xdr:row>
      <xdr:rowOff>187186</xdr:rowOff>
    </xdr:from>
    <xdr:to>
      <xdr:col>14</xdr:col>
      <xdr:colOff>460514</xdr:colOff>
      <xdr:row>15</xdr:row>
      <xdr:rowOff>47625</xdr:rowOff>
    </xdr:to>
    <mc:AlternateContent xmlns:mc="http://schemas.openxmlformats.org/markup-compatibility/2006" xmlns:a14="http://schemas.microsoft.com/office/drawing/2010/main">
      <mc:Choice Requires="a14">
        <xdr:graphicFrame macro="">
          <xdr:nvGraphicFramePr>
            <xdr:cNvPr id="3" name="Section"/>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9480689" y="2396986"/>
              <a:ext cx="1819275" cy="119393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12839</xdr:colOff>
      <xdr:row>15</xdr:row>
      <xdr:rowOff>31473</xdr:rowOff>
    </xdr:from>
    <xdr:to>
      <xdr:col>14</xdr:col>
      <xdr:colOff>460514</xdr:colOff>
      <xdr:row>21</xdr:row>
      <xdr:rowOff>160267</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80689" y="3622398"/>
              <a:ext cx="1819275" cy="12146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10767</xdr:colOff>
      <xdr:row>21</xdr:row>
      <xdr:rowOff>133351</xdr:rowOff>
    </xdr:from>
    <xdr:to>
      <xdr:col>14</xdr:col>
      <xdr:colOff>458442</xdr:colOff>
      <xdr:row>30</xdr:row>
      <xdr:rowOff>30234</xdr:rowOff>
    </xdr:to>
    <mc:AlternateContent xmlns:mc="http://schemas.openxmlformats.org/markup-compatibility/2006" xmlns:a14="http://schemas.microsoft.com/office/drawing/2010/main">
      <mc:Choice Requires="a14">
        <xdr:graphicFrame macro="">
          <xdr:nvGraphicFramePr>
            <xdr:cNvPr id="6" name="Nationality"/>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9478617" y="4867276"/>
              <a:ext cx="1819275" cy="152565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3311</xdr:colOff>
      <xdr:row>29</xdr:row>
      <xdr:rowOff>172279</xdr:rowOff>
    </xdr:from>
    <xdr:to>
      <xdr:col>14</xdr:col>
      <xdr:colOff>450986</xdr:colOff>
      <xdr:row>35</xdr:row>
      <xdr:rowOff>18222</xdr:rowOff>
    </xdr:to>
    <mc:AlternateContent xmlns:mc="http://schemas.openxmlformats.org/markup-compatibility/2006">
      <mc:Choice xmlns:a14="http://schemas.microsoft.com/office/drawing/2010/main" Requires="a14">
        <xdr:graphicFrame macro="">
          <xdr:nvGraphicFramePr>
            <xdr:cNvPr id="7" name="Hire_Type"/>
            <xdr:cNvGraphicFramePr/>
          </xdr:nvGraphicFramePr>
          <xdr:xfrm>
            <a:off x="0" y="0"/>
            <a:ext cx="0" cy="0"/>
          </xdr:xfrm>
          <a:graphic>
            <a:graphicData uri="http://schemas.microsoft.com/office/drawing/2010/slicer">
              <sle:slicer xmlns:sle="http://schemas.microsoft.com/office/drawing/2010/slicer" name="Hire_Type"/>
            </a:graphicData>
          </a:graphic>
        </xdr:graphicFrame>
      </mc:Choice>
      <mc:Fallback>
        <xdr:sp macro="" textlink="">
          <xdr:nvSpPr>
            <xdr:cNvPr id="0" name=""/>
            <xdr:cNvSpPr>
              <a:spLocks noTextEdit="1"/>
            </xdr:cNvSpPr>
          </xdr:nvSpPr>
          <xdr:spPr>
            <a:xfrm>
              <a:off x="10728461" y="6230179"/>
              <a:ext cx="1819275" cy="93179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5795</xdr:colOff>
      <xdr:row>0</xdr:row>
      <xdr:rowOff>0</xdr:rowOff>
    </xdr:from>
    <xdr:to>
      <xdr:col>14</xdr:col>
      <xdr:colOff>453470</xdr:colOff>
      <xdr:row>1</xdr:row>
      <xdr:rowOff>351182</xdr:rowOff>
    </xdr:to>
    <mc:AlternateContent xmlns:mc="http://schemas.openxmlformats.org/markup-compatibility/2006">
      <mc:Choice xmlns:a14="http://schemas.microsoft.com/office/drawing/2010/main" Requires="a14">
        <xdr:graphicFrame macro="">
          <xdr:nvGraphicFramePr>
            <xdr:cNvPr id="10"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730945" y="0"/>
              <a:ext cx="1819275" cy="87505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654326</xdr:colOff>
      <xdr:row>10</xdr:row>
      <xdr:rowOff>113885</xdr:rowOff>
    </xdr:from>
    <xdr:to>
      <xdr:col>8</xdr:col>
      <xdr:colOff>438979</xdr:colOff>
      <xdr:row>24</xdr:row>
      <xdr:rowOff>160682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105605</xdr:rowOff>
    </xdr:from>
    <xdr:to>
      <xdr:col>3</xdr:col>
      <xdr:colOff>621195</xdr:colOff>
      <xdr:row>24</xdr:row>
      <xdr:rowOff>152402</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480391</xdr:colOff>
      <xdr:row>10</xdr:row>
      <xdr:rowOff>113886</xdr:rowOff>
    </xdr:from>
    <xdr:to>
      <xdr:col>11</xdr:col>
      <xdr:colOff>952500</xdr:colOff>
      <xdr:row>24</xdr:row>
      <xdr:rowOff>160683</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646043</xdr:colOff>
      <xdr:row>25</xdr:row>
      <xdr:rowOff>24434</xdr:rowOff>
    </xdr:from>
    <xdr:to>
      <xdr:col>8</xdr:col>
      <xdr:colOff>463826</xdr:colOff>
      <xdr:row>39</xdr:row>
      <xdr:rowOff>74129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24848</xdr:colOff>
      <xdr:row>24</xdr:row>
      <xdr:rowOff>180560</xdr:rowOff>
    </xdr:from>
    <xdr:to>
      <xdr:col>3</xdr:col>
      <xdr:colOff>596348</xdr:colOff>
      <xdr:row>39</xdr:row>
      <xdr:rowOff>75785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463827</xdr:colOff>
      <xdr:row>25</xdr:row>
      <xdr:rowOff>16151</xdr:rowOff>
    </xdr:from>
    <xdr:to>
      <xdr:col>11</xdr:col>
      <xdr:colOff>844826</xdr:colOff>
      <xdr:row>39</xdr:row>
      <xdr:rowOff>74129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ajahat" refreshedDate="46138.784413310183" createdVersion="4" refreshedVersion="4" minRefreshableVersion="3" recordCount="35">
  <cacheSource type="worksheet">
    <worksheetSource name="Table1"/>
  </cacheSource>
  <cacheFields count="18">
    <cacheField name="Section" numFmtId="0">
      <sharedItems containsBlank="1" count="6">
        <s v="Employee"/>
        <s v="Turnover"/>
        <s v="Recruitment"/>
        <s v="Hiring"/>
        <s v="Overtime"/>
        <m/>
      </sharedItems>
    </cacheField>
    <cacheField name="Emp_ID" numFmtId="0">
      <sharedItems containsBlank="1"/>
    </cacheField>
    <cacheField name="Name" numFmtId="0">
      <sharedItems containsBlank="1"/>
    </cacheField>
    <cacheField name="Dept" numFmtId="0">
      <sharedItems containsBlank="1" count="8">
        <s v="Production"/>
        <s v="Finance"/>
        <s v="HR"/>
        <s v="IT"/>
        <s v="Sales"/>
        <s v="Logistics"/>
        <s v="QA"/>
        <m/>
      </sharedItems>
    </cacheField>
    <cacheField name="Category" numFmtId="0">
      <sharedItems containsBlank="1" count="10">
        <s v="Non-Executive"/>
        <s v="Executive"/>
        <s v="Manager"/>
        <m/>
        <s v="Logistics" u="1"/>
        <s v="QA" u="1"/>
        <s v="Finance" u="1"/>
        <s v="Production" u="1"/>
        <s v="Sales" u="1"/>
        <s v="IT" u="1"/>
      </sharedItems>
    </cacheField>
    <cacheField name="Level" numFmtId="0">
      <sharedItems containsBlank="1"/>
    </cacheField>
    <cacheField name="DOJ" numFmtId="0">
      <sharedItems containsDate="1" containsBlank="1" containsMixedTypes="1" minDate="2023-01-06T00:00:00" maxDate="2026-07-04T00:00:00"/>
    </cacheField>
    <cacheField name="Monthly Salary" numFmtId="3">
      <sharedItems containsString="0" containsBlank="1" containsNumber="1" containsInteger="1" minValue="1000" maxValue="1000000"/>
    </cacheField>
    <cacheField name="Status" numFmtId="0">
      <sharedItems containsBlank="1" count="3">
        <s v="Active"/>
        <s v="Resigned"/>
        <m/>
      </sharedItems>
    </cacheField>
    <cacheField name="Resign_Date" numFmtId="0">
      <sharedItems containsDate="1" containsBlank="1" containsMixedTypes="1" minDate="2026-10-01T00:00:00" maxDate="2026-10-02T00:00:00"/>
    </cacheField>
    <cacheField name="Month" numFmtId="0">
      <sharedItems containsNonDate="0" containsDate="1" containsString="0" containsBlank="1" minDate="2026-01-26T00:00:00" maxDate="2026-03-27T00:00:00"/>
    </cacheField>
    <cacheField name="Open_Positions" numFmtId="0">
      <sharedItems containsString="0" containsBlank="1" containsNumber="1" containsInteger="1" minValue="3" maxValue="45"/>
    </cacheField>
    <cacheField name="Work Quota Permit" numFmtId="0">
      <sharedItems containsString="0" containsBlank="1" containsNumber="1" containsInteger="1" minValue="0" maxValue="8"/>
    </cacheField>
    <cacheField name="Filled_Positions" numFmtId="0">
      <sharedItems containsString="0" containsBlank="1" containsNumber="1" containsInteger="1" minValue="2" maxValue="30"/>
    </cacheField>
    <cacheField name="Hire_Type" numFmtId="0">
      <sharedItems containsBlank="1" count="3">
        <m/>
        <s v="New"/>
        <s v="Replacement"/>
      </sharedItems>
    </cacheField>
    <cacheField name="Source" numFmtId="0">
      <sharedItems containsBlank="1"/>
    </cacheField>
    <cacheField name="Nationality" numFmtId="0">
      <sharedItems containsBlank="1" count="5">
        <s v="Indian"/>
        <s v="Bangladeshi"/>
        <s v="Pakistani"/>
        <m/>
        <s v="Malaysian" u="1"/>
      </sharedItems>
    </cacheField>
    <cacheField name="OT_Hours" numFmtId="0">
      <sharedItems containsString="0" containsBlank="1" containsNumber="1" containsInteger="1" minValue="8" maxValue="3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
  <r>
    <x v="0"/>
    <s v="E001"/>
    <s v="Ali Khan"/>
    <x v="0"/>
    <x v="0"/>
    <s v="L1"/>
    <d v="2024-01-01T00:00:00"/>
    <n v="1000"/>
    <x v="0"/>
    <m/>
    <m/>
    <m/>
    <m/>
    <m/>
    <x v="0"/>
    <m/>
    <x v="0"/>
    <m/>
  </r>
  <r>
    <x v="0"/>
    <s v="E002"/>
    <s v="Ahmed Raza"/>
    <x v="1"/>
    <x v="1"/>
    <s v="L2"/>
    <s v="15/03/2024"/>
    <n v="1000000"/>
    <x v="0"/>
    <m/>
    <m/>
    <m/>
    <m/>
    <m/>
    <x v="0"/>
    <m/>
    <x v="1"/>
    <m/>
  </r>
  <r>
    <x v="0"/>
    <s v="E003"/>
    <s v="Sara Malik"/>
    <x v="2"/>
    <x v="2"/>
    <s v="L3"/>
    <d v="2023-10-02T00:00:00"/>
    <n v="500000"/>
    <x v="0"/>
    <m/>
    <m/>
    <m/>
    <m/>
    <m/>
    <x v="0"/>
    <m/>
    <x v="2"/>
    <m/>
  </r>
  <r>
    <x v="0"/>
    <s v="E004"/>
    <s v="Hassan Ali"/>
    <x v="3"/>
    <x v="1"/>
    <s v="L2"/>
    <s v="20/05/2024"/>
    <n v="100000"/>
    <x v="0"/>
    <m/>
    <m/>
    <m/>
    <m/>
    <m/>
    <x v="0"/>
    <m/>
    <x v="0"/>
    <m/>
  </r>
  <r>
    <x v="0"/>
    <s v="E005"/>
    <s v="Ayesha Noor"/>
    <x v="4"/>
    <x v="0"/>
    <s v="L1"/>
    <d v="2024-11-07T00:00:00"/>
    <n v="400000"/>
    <x v="0"/>
    <m/>
    <m/>
    <m/>
    <m/>
    <m/>
    <x v="0"/>
    <m/>
    <x v="1"/>
    <m/>
  </r>
  <r>
    <x v="0"/>
    <s v="E006"/>
    <s v="Usman Tariq"/>
    <x v="5"/>
    <x v="0"/>
    <s v="L1"/>
    <s v="25/08/2024"/>
    <n v="100000"/>
    <x v="0"/>
    <m/>
    <m/>
    <m/>
    <m/>
    <m/>
    <x v="0"/>
    <m/>
    <x v="2"/>
    <m/>
  </r>
  <r>
    <x v="0"/>
    <s v="E007"/>
    <s v="Zain Sheikh"/>
    <x v="0"/>
    <x v="1"/>
    <s v="L2"/>
    <d v="2023-05-09T00:00:00"/>
    <n v="200000"/>
    <x v="0"/>
    <m/>
    <m/>
    <m/>
    <m/>
    <m/>
    <x v="0"/>
    <m/>
    <x v="2"/>
    <m/>
  </r>
  <r>
    <x v="0"/>
    <s v="E008"/>
    <s v="Fatima Zahra"/>
    <x v="6"/>
    <x v="0"/>
    <s v="L1"/>
    <d v="2024-12-11T00:00:00"/>
    <n v="299999"/>
    <x v="0"/>
    <m/>
    <m/>
    <m/>
    <m/>
    <m/>
    <x v="0"/>
    <m/>
    <x v="2"/>
    <m/>
  </r>
  <r>
    <x v="1"/>
    <s v="E009"/>
    <s v="Imran Shah"/>
    <x v="0"/>
    <x v="0"/>
    <s v="L1"/>
    <d v="2024-01-02T00:00:00"/>
    <m/>
    <x v="1"/>
    <s v="15/03/2026"/>
    <m/>
    <m/>
    <m/>
    <m/>
    <x v="0"/>
    <m/>
    <x v="3"/>
    <m/>
  </r>
  <r>
    <x v="1"/>
    <s v="E010"/>
    <s v="Nadia Khan"/>
    <x v="1"/>
    <x v="1"/>
    <s v="L2"/>
    <d v="2023-01-06T00:00:00"/>
    <m/>
    <x v="1"/>
    <s v="20/02/2026"/>
    <m/>
    <m/>
    <m/>
    <m/>
    <x v="0"/>
    <m/>
    <x v="3"/>
    <m/>
  </r>
  <r>
    <x v="1"/>
    <s v="E011"/>
    <s v="Rizwan Ali"/>
    <x v="4"/>
    <x v="0"/>
    <s v="L1"/>
    <d v="2024-01-09T00:00:00"/>
    <m/>
    <x v="1"/>
    <d v="2026-10-01T00:00:00"/>
    <m/>
    <m/>
    <m/>
    <m/>
    <x v="0"/>
    <m/>
    <x v="3"/>
    <m/>
  </r>
  <r>
    <x v="2"/>
    <m/>
    <m/>
    <x v="0"/>
    <x v="3"/>
    <m/>
    <m/>
    <m/>
    <x v="2"/>
    <m/>
    <d v="2026-01-26T00:00:00"/>
    <n v="40"/>
    <n v="5"/>
    <n v="25"/>
    <x v="0"/>
    <m/>
    <x v="3"/>
    <m/>
  </r>
  <r>
    <x v="2"/>
    <m/>
    <m/>
    <x v="3"/>
    <x v="3"/>
    <m/>
    <m/>
    <m/>
    <x v="2"/>
    <m/>
    <d v="2026-01-26T00:00:00"/>
    <n v="5"/>
    <n v="1"/>
    <n v="3"/>
    <x v="0"/>
    <m/>
    <x v="3"/>
    <m/>
  </r>
  <r>
    <x v="2"/>
    <m/>
    <m/>
    <x v="4"/>
    <x v="3"/>
    <m/>
    <m/>
    <m/>
    <x v="2"/>
    <m/>
    <d v="2026-01-26T00:00:00"/>
    <n v="6"/>
    <n v="2"/>
    <n v="4"/>
    <x v="0"/>
    <m/>
    <x v="3"/>
    <m/>
  </r>
  <r>
    <x v="2"/>
    <m/>
    <m/>
    <x v="0"/>
    <x v="3"/>
    <m/>
    <m/>
    <m/>
    <x v="2"/>
    <m/>
    <d v="2026-02-26T00:00:00"/>
    <n v="45"/>
    <n v="8"/>
    <n v="30"/>
    <x v="0"/>
    <m/>
    <x v="3"/>
    <m/>
  </r>
  <r>
    <x v="2"/>
    <m/>
    <m/>
    <x v="1"/>
    <x v="3"/>
    <m/>
    <m/>
    <m/>
    <x v="2"/>
    <m/>
    <d v="2026-02-26T00:00:00"/>
    <n v="4"/>
    <n v="0"/>
    <n v="2"/>
    <x v="0"/>
    <m/>
    <x v="3"/>
    <m/>
  </r>
  <r>
    <x v="2"/>
    <m/>
    <m/>
    <x v="4"/>
    <x v="3"/>
    <m/>
    <m/>
    <m/>
    <x v="2"/>
    <m/>
    <d v="2026-02-26T00:00:00"/>
    <n v="8"/>
    <n v="1"/>
    <n v="5"/>
    <x v="0"/>
    <m/>
    <x v="3"/>
    <m/>
  </r>
  <r>
    <x v="2"/>
    <m/>
    <m/>
    <x v="0"/>
    <x v="3"/>
    <m/>
    <m/>
    <m/>
    <x v="2"/>
    <m/>
    <d v="2026-03-26T00:00:00"/>
    <n v="41"/>
    <n v="4"/>
    <n v="28"/>
    <x v="0"/>
    <m/>
    <x v="3"/>
    <m/>
  </r>
  <r>
    <x v="2"/>
    <m/>
    <m/>
    <x v="5"/>
    <x v="3"/>
    <m/>
    <m/>
    <m/>
    <x v="2"/>
    <m/>
    <d v="2026-03-26T00:00:00"/>
    <n v="6"/>
    <n v="1"/>
    <n v="3"/>
    <x v="0"/>
    <m/>
    <x v="3"/>
    <m/>
  </r>
  <r>
    <x v="2"/>
    <m/>
    <m/>
    <x v="6"/>
    <x v="3"/>
    <m/>
    <m/>
    <m/>
    <x v="2"/>
    <m/>
    <d v="2026-03-26T00:00:00"/>
    <n v="3"/>
    <n v="0"/>
    <n v="2"/>
    <x v="0"/>
    <m/>
    <x v="3"/>
    <m/>
  </r>
  <r>
    <x v="3"/>
    <s v="E012"/>
    <s v="Kamran Iqbal"/>
    <x v="0"/>
    <x v="0"/>
    <s v="L1"/>
    <d v="2026-01-03T00:00:00"/>
    <m/>
    <x v="0"/>
    <m/>
    <d v="2026-03-26T00:00:00"/>
    <m/>
    <m/>
    <m/>
    <x v="1"/>
    <s v="Agency"/>
    <x v="2"/>
    <m/>
  </r>
  <r>
    <x v="3"/>
    <s v="E013"/>
    <s v="Hina Akhtar"/>
    <x v="1"/>
    <x v="1"/>
    <s v="L2"/>
    <d v="2026-02-03T00:00:00"/>
    <m/>
    <x v="0"/>
    <m/>
    <d v="2026-03-26T00:00:00"/>
    <m/>
    <m/>
    <m/>
    <x v="2"/>
    <s v="Referral"/>
    <x v="2"/>
    <m/>
  </r>
  <r>
    <x v="3"/>
    <s v="E014"/>
    <s v="Omar Farooq"/>
    <x v="4"/>
    <x v="0"/>
    <s v="L1"/>
    <d v="2026-03-03T00:00:00"/>
    <m/>
    <x v="0"/>
    <m/>
    <d v="2026-03-26T00:00:00"/>
    <m/>
    <m/>
    <m/>
    <x v="1"/>
    <s v="Walk-in"/>
    <x v="2"/>
    <m/>
  </r>
  <r>
    <x v="3"/>
    <s v="E015"/>
    <s v="Sana Tariq"/>
    <x v="3"/>
    <x v="1"/>
    <s v="L2"/>
    <d v="2026-05-03T00:00:00"/>
    <m/>
    <x v="0"/>
    <m/>
    <d v="2026-03-26T00:00:00"/>
    <m/>
    <m/>
    <m/>
    <x v="2"/>
    <s v="Jobstreet"/>
    <x v="0"/>
    <m/>
  </r>
  <r>
    <x v="3"/>
    <s v="E016"/>
    <s v="Bilal Ahmed"/>
    <x v="0"/>
    <x v="0"/>
    <s v="L1"/>
    <d v="2026-06-03T00:00:00"/>
    <m/>
    <x v="0"/>
    <m/>
    <d v="2026-03-26T00:00:00"/>
    <m/>
    <m/>
    <m/>
    <x v="2"/>
    <s v="Agency"/>
    <x v="1"/>
    <m/>
  </r>
  <r>
    <x v="3"/>
    <s v="E017"/>
    <s v="Maria Khan"/>
    <x v="6"/>
    <x v="0"/>
    <s v="L1"/>
    <d v="2026-07-03T00:00:00"/>
    <m/>
    <x v="0"/>
    <m/>
    <d v="2026-03-26T00:00:00"/>
    <m/>
    <m/>
    <m/>
    <x v="1"/>
    <s v="Referral"/>
    <x v="2"/>
    <m/>
  </r>
  <r>
    <x v="4"/>
    <s v="E001"/>
    <s v="Ali Khan"/>
    <x v="0"/>
    <x v="3"/>
    <m/>
    <m/>
    <m/>
    <x v="2"/>
    <m/>
    <d v="2026-01-26T00:00:00"/>
    <m/>
    <m/>
    <m/>
    <x v="0"/>
    <m/>
    <x v="3"/>
    <n v="32"/>
  </r>
  <r>
    <x v="4"/>
    <s v="E002"/>
    <s v="Ahmed Raza"/>
    <x v="1"/>
    <x v="3"/>
    <m/>
    <m/>
    <m/>
    <x v="2"/>
    <m/>
    <d v="2026-01-26T00:00:00"/>
    <m/>
    <m/>
    <m/>
    <x v="0"/>
    <m/>
    <x v="3"/>
    <n v="12"/>
  </r>
  <r>
    <x v="4"/>
    <s v="E003"/>
    <s v="Sara Malik"/>
    <x v="2"/>
    <x v="3"/>
    <m/>
    <m/>
    <m/>
    <x v="2"/>
    <m/>
    <d v="2026-01-26T00:00:00"/>
    <m/>
    <m/>
    <m/>
    <x v="0"/>
    <m/>
    <x v="3"/>
    <n v="8"/>
  </r>
  <r>
    <x v="4"/>
    <s v="E004"/>
    <s v="Hassan Ali"/>
    <x v="3"/>
    <x v="3"/>
    <m/>
    <m/>
    <m/>
    <x v="2"/>
    <m/>
    <d v="2026-02-26T00:00:00"/>
    <m/>
    <m/>
    <m/>
    <x v="0"/>
    <m/>
    <x v="3"/>
    <n v="15"/>
  </r>
  <r>
    <x v="4"/>
    <s v="E005"/>
    <s v="Ayesha Noor"/>
    <x v="4"/>
    <x v="3"/>
    <m/>
    <m/>
    <m/>
    <x v="2"/>
    <m/>
    <d v="2026-02-26T00:00:00"/>
    <m/>
    <m/>
    <m/>
    <x v="0"/>
    <m/>
    <x v="3"/>
    <n v="18"/>
  </r>
  <r>
    <x v="4"/>
    <s v="E006"/>
    <s v="Usman Tariq"/>
    <x v="5"/>
    <x v="3"/>
    <m/>
    <m/>
    <m/>
    <x v="2"/>
    <m/>
    <d v="2026-02-26T00:00:00"/>
    <m/>
    <m/>
    <m/>
    <x v="0"/>
    <m/>
    <x v="3"/>
    <n v="25"/>
  </r>
  <r>
    <x v="4"/>
    <s v="E007"/>
    <s v="Zain Sheikh"/>
    <x v="0"/>
    <x v="3"/>
    <m/>
    <m/>
    <m/>
    <x v="2"/>
    <m/>
    <d v="2026-03-26T00:00:00"/>
    <m/>
    <m/>
    <m/>
    <x v="0"/>
    <m/>
    <x v="3"/>
    <n v="35"/>
  </r>
  <r>
    <x v="4"/>
    <s v="E008"/>
    <s v="Fatima Zahra"/>
    <x v="6"/>
    <x v="3"/>
    <m/>
    <m/>
    <m/>
    <x v="2"/>
    <m/>
    <d v="2026-03-26T00:00:00"/>
    <m/>
    <m/>
    <m/>
    <x v="0"/>
    <m/>
    <x v="3"/>
    <n v="20"/>
  </r>
  <r>
    <x v="5"/>
    <m/>
    <m/>
    <x v="7"/>
    <x v="3"/>
    <m/>
    <m/>
    <m/>
    <x v="2"/>
    <m/>
    <m/>
    <m/>
    <m/>
    <m/>
    <x v="0"/>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U1:BV5" firstHeaderRow="1" firstDataRow="1" firstDataCol="1"/>
  <pivotFields count="18">
    <pivotField multipleItemSelectionAllowed="1" showAll="0">
      <items count="7">
        <item x="0"/>
        <item x="3"/>
        <item x="4"/>
        <item x="2"/>
        <item x="1"/>
        <item x="5"/>
        <item t="default"/>
      </items>
    </pivotField>
    <pivotField dataField="1" showAll="0"/>
    <pivotField showAll="0"/>
    <pivotField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axis="axisRow" showAll="0">
      <items count="4">
        <item x="0"/>
        <item x="1"/>
        <item x="2"/>
        <item t="default"/>
      </items>
    </pivotField>
    <pivotField showAll="0"/>
    <pivotField showAll="0"/>
    <pivotField showAll="0"/>
    <pivotField showAll="0" defaultSubtotal="0"/>
    <pivotField showAll="0"/>
    <pivotField showAll="0">
      <items count="4">
        <item x="1"/>
        <item x="2"/>
        <item x="0"/>
        <item t="default"/>
      </items>
    </pivotField>
    <pivotField showAll="0"/>
    <pivotField showAll="0">
      <items count="6">
        <item x="1"/>
        <item x="0"/>
        <item m="1" x="4"/>
        <item x="2"/>
        <item x="3"/>
        <item t="default"/>
      </items>
    </pivotField>
    <pivotField showAll="0"/>
  </pivotFields>
  <rowFields count="1">
    <field x="8"/>
  </rowFields>
  <rowItems count="4">
    <i>
      <x/>
    </i>
    <i>
      <x v="1"/>
    </i>
    <i>
      <x v="2"/>
    </i>
    <i t="grand">
      <x/>
    </i>
  </rowItems>
  <colItems count="1">
    <i/>
  </colItems>
  <dataFields count="1">
    <dataField name="Count of Emp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BC1:BD6" firstHeaderRow="1" firstDataRow="1" firstDataCol="1"/>
  <pivotFields count="18">
    <pivotField showAll="0">
      <items count="7">
        <item x="0"/>
        <item x="3"/>
        <item x="4"/>
        <item x="2"/>
        <item x="1"/>
        <item x="5"/>
        <item t="default"/>
      </items>
    </pivotField>
    <pivotField dataField="1" showAll="0"/>
    <pivotField showAll="0"/>
    <pivotField showAll="0">
      <items count="9">
        <item x="1"/>
        <item x="2"/>
        <item x="3"/>
        <item x="5"/>
        <item x="0"/>
        <item x="6"/>
        <item x="4"/>
        <item x="7"/>
        <item t="default"/>
      </items>
    </pivotField>
    <pivotField axis="axisRow"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showAll="0"/>
    <pivotField showAll="0" defaultSubtotal="0"/>
    <pivotField showAll="0"/>
    <pivotField showAll="0">
      <items count="4">
        <item x="1"/>
        <item x="2"/>
        <item x="0"/>
        <item t="default"/>
      </items>
    </pivotField>
    <pivotField showAll="0"/>
    <pivotField showAll="0">
      <items count="6">
        <item x="1"/>
        <item x="0"/>
        <item m="1" x="4"/>
        <item x="2"/>
        <item x="3"/>
        <item t="default"/>
      </items>
    </pivotField>
    <pivotField showAll="0"/>
  </pivotFields>
  <rowFields count="1">
    <field x="4"/>
  </rowFields>
  <rowItems count="5">
    <i>
      <x/>
    </i>
    <i>
      <x v="4"/>
    </i>
    <i>
      <x v="5"/>
    </i>
    <i>
      <x v="9"/>
    </i>
    <i t="grand">
      <x/>
    </i>
  </rowItems>
  <colItems count="1">
    <i/>
  </colItems>
  <dataFields count="1">
    <dataField name="Count of Emp_ID"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T1:AU10" firstHeaderRow="1" firstDataRow="1" firstDataCol="1"/>
  <pivotFields count="18">
    <pivotField showAll="0">
      <items count="7">
        <item x="0"/>
        <item x="3"/>
        <item x="4"/>
        <item x="2"/>
        <item x="1"/>
        <item x="5"/>
        <item t="default"/>
      </items>
    </pivotField>
    <pivotField dataField="1" showAll="0"/>
    <pivotField showAll="0"/>
    <pivotField axis="axisRow"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showAll="0"/>
    <pivotField showAll="0" defaultSubtotal="0"/>
    <pivotField showAll="0"/>
    <pivotField showAll="0">
      <items count="4">
        <item x="1"/>
        <item x="2"/>
        <item x="0"/>
        <item t="default"/>
      </items>
    </pivotField>
    <pivotField showAll="0"/>
    <pivotField showAll="0">
      <items count="6">
        <item x="1"/>
        <item x="0"/>
        <item m="1" x="4"/>
        <item x="2"/>
        <item x="3"/>
        <item t="default"/>
      </items>
    </pivotField>
    <pivotField showAll="0"/>
  </pivotFields>
  <rowFields count="1">
    <field x="3"/>
  </rowFields>
  <rowItems count="9">
    <i>
      <x/>
    </i>
    <i>
      <x v="1"/>
    </i>
    <i>
      <x v="2"/>
    </i>
    <i>
      <x v="3"/>
    </i>
    <i>
      <x v="4"/>
    </i>
    <i>
      <x v="5"/>
    </i>
    <i>
      <x v="6"/>
    </i>
    <i>
      <x v="7"/>
    </i>
    <i t="grand">
      <x/>
    </i>
  </rowItems>
  <colItems count="1">
    <i/>
  </colItems>
  <dataFields count="1">
    <dataField name="Count of Emp_I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J1:BK8" firstHeaderRow="1" firstDataRow="1" firstDataCol="1"/>
  <pivotFields count="18">
    <pivotField axis="axisRow" multipleItemSelectionAllowed="1" showAll="0">
      <items count="7">
        <item x="0"/>
        <item x="3"/>
        <item x="4"/>
        <item x="2"/>
        <item x="1"/>
        <item x="5"/>
        <item t="default"/>
      </items>
    </pivotField>
    <pivotField showAll="0"/>
    <pivotField showAll="0"/>
    <pivotField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showAll="0"/>
    <pivotField showAll="0" defaultSubtotal="0"/>
    <pivotField showAll="0"/>
    <pivotField dataField="1" showAll="0">
      <items count="4">
        <item x="1"/>
        <item x="2"/>
        <item x="0"/>
        <item t="default"/>
      </items>
    </pivotField>
    <pivotField showAll="0"/>
    <pivotField showAll="0">
      <items count="6">
        <item x="1"/>
        <item x="0"/>
        <item m="1" x="4"/>
        <item x="2"/>
        <item x="3"/>
        <item t="default"/>
      </items>
    </pivotField>
    <pivotField showAll="0"/>
  </pivotFields>
  <rowFields count="1">
    <field x="0"/>
  </rowFields>
  <rowItems count="7">
    <i>
      <x/>
    </i>
    <i>
      <x v="1"/>
    </i>
    <i>
      <x v="2"/>
    </i>
    <i>
      <x v="3"/>
    </i>
    <i>
      <x v="4"/>
    </i>
    <i>
      <x v="5"/>
    </i>
    <i t="grand">
      <x/>
    </i>
  </rowItems>
  <colItems count="1">
    <i/>
  </colItems>
  <dataFields count="1">
    <dataField name="Count of Hire_Typ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F1:BI8" firstHeaderRow="0" firstDataRow="1" firstDataCol="1"/>
  <pivotFields count="18">
    <pivotField axis="axisRow" multipleItemSelectionAllowed="1" showAll="0">
      <items count="7">
        <item x="0"/>
        <item x="3"/>
        <item x="4"/>
        <item x="2"/>
        <item x="1"/>
        <item x="5"/>
        <item t="default"/>
      </items>
    </pivotField>
    <pivotField showAll="0"/>
    <pivotField showAll="0"/>
    <pivotField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dataField="1" showAll="0"/>
    <pivotField dataField="1" showAll="0" defaultSubtotal="0"/>
    <pivotField dataField="1" showAll="0"/>
    <pivotField showAll="0">
      <items count="4">
        <item x="1"/>
        <item x="2"/>
        <item x="0"/>
        <item t="default"/>
      </items>
    </pivotField>
    <pivotField showAll="0"/>
    <pivotField showAll="0">
      <items count="6">
        <item x="1"/>
        <item x="0"/>
        <item m="1" x="4"/>
        <item x="2"/>
        <item x="3"/>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Open_Positions" fld="11" baseField="0" baseItem="0"/>
    <dataField name="Sum of Filled_Positions" fld="13" baseField="0" baseItem="0"/>
    <dataField name="Sum of Work Quota Perm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M1:BR9" firstHeaderRow="1" firstDataRow="2" firstDataCol="1"/>
  <pivotFields count="18">
    <pivotField axis="axisRow" multipleItemSelectionAllowed="1" showAll="0">
      <items count="7">
        <item x="0"/>
        <item x="3"/>
        <item x="4"/>
        <item x="2"/>
        <item x="1"/>
        <item x="5"/>
        <item t="default"/>
      </items>
    </pivotField>
    <pivotField showAll="0"/>
    <pivotField showAll="0"/>
    <pivotField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showAll="0"/>
    <pivotField showAll="0" defaultSubtotal="0"/>
    <pivotField showAll="0"/>
    <pivotField showAll="0">
      <items count="4">
        <item x="1"/>
        <item x="2"/>
        <item x="0"/>
        <item t="default"/>
      </items>
    </pivotField>
    <pivotField showAll="0"/>
    <pivotField axis="axisCol" dataField="1" showAll="0">
      <items count="6">
        <item x="1"/>
        <item x="0"/>
        <item m="1" x="4"/>
        <item x="2"/>
        <item x="3"/>
        <item t="default"/>
      </items>
    </pivotField>
    <pivotField showAll="0"/>
  </pivotFields>
  <rowFields count="1">
    <field x="0"/>
  </rowFields>
  <rowItems count="7">
    <i>
      <x/>
    </i>
    <i>
      <x v="1"/>
    </i>
    <i>
      <x v="2"/>
    </i>
    <i>
      <x v="3"/>
    </i>
    <i>
      <x v="4"/>
    </i>
    <i>
      <x v="5"/>
    </i>
    <i t="grand">
      <x/>
    </i>
  </rowItems>
  <colFields count="1">
    <field x="16"/>
  </colFields>
  <colItems count="5">
    <i>
      <x/>
    </i>
    <i>
      <x v="1"/>
    </i>
    <i>
      <x v="3"/>
    </i>
    <i>
      <x v="4"/>
    </i>
    <i t="grand">
      <x/>
    </i>
  </colItems>
  <dataFields count="1">
    <dataField name="Count of Nationality" fld="16" subtotal="count" baseField="0" baseItem="0"/>
  </dataFields>
  <chartFormats count="4">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2">
          <reference field="4294967294" count="1" selected="0">
            <x v="0"/>
          </reference>
          <reference field="16" count="1" selected="0">
            <x v="1"/>
          </reference>
        </references>
      </pivotArea>
    </chartFormat>
    <chartFormat chart="2" format="20" series="1">
      <pivotArea type="data" outline="0" fieldPosition="0">
        <references count="2">
          <reference field="4294967294" count="1" selected="0">
            <x v="0"/>
          </reference>
          <reference field="16" count="1" selected="0">
            <x v="3"/>
          </reference>
        </references>
      </pivotArea>
    </chartFormat>
    <chartFormat chart="2" format="21" series="1">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Y3:AZ10" firstHeaderRow="1" firstDataRow="1" firstDataCol="1"/>
  <pivotFields count="18">
    <pivotField axis="axisRow" multipleItemSelectionAllowed="1" showAll="0">
      <items count="7">
        <item x="0"/>
        <item x="3"/>
        <item x="4"/>
        <item x="2"/>
        <item x="1"/>
        <item x="5"/>
        <item t="default"/>
      </items>
    </pivotField>
    <pivotField dataField="1" showAll="0"/>
    <pivotField showAll="0"/>
    <pivotField showAll="0">
      <items count="9">
        <item x="1"/>
        <item x="2"/>
        <item x="3"/>
        <item x="5"/>
        <item x="0"/>
        <item x="6"/>
        <item x="4"/>
        <item x="7"/>
        <item t="default"/>
      </items>
    </pivotField>
    <pivotField showAll="0">
      <items count="11">
        <item x="1"/>
        <item m="1" x="6"/>
        <item m="1" x="9"/>
        <item m="1" x="4"/>
        <item x="2"/>
        <item x="0"/>
        <item m="1" x="7"/>
        <item m="1" x="5"/>
        <item m="1" x="8"/>
        <item x="3"/>
        <item t="default"/>
      </items>
    </pivotField>
    <pivotField showAll="0"/>
    <pivotField showAll="0"/>
    <pivotField showAll="0" defaultSubtotal="0"/>
    <pivotField showAll="0">
      <items count="4">
        <item x="0"/>
        <item x="1"/>
        <item x="2"/>
        <item t="default"/>
      </items>
    </pivotField>
    <pivotField showAll="0"/>
    <pivotField showAll="0"/>
    <pivotField showAll="0"/>
    <pivotField showAll="0" defaultSubtotal="0"/>
    <pivotField showAll="0"/>
    <pivotField showAll="0">
      <items count="4">
        <item x="1"/>
        <item x="2"/>
        <item x="0"/>
        <item t="default"/>
      </items>
    </pivotField>
    <pivotField showAll="0"/>
    <pivotField showAll="0">
      <items count="6">
        <item x="1"/>
        <item x="0"/>
        <item m="1" x="4"/>
        <item x="2"/>
        <item x="3"/>
        <item t="default"/>
      </items>
    </pivotField>
    <pivotField showAll="0"/>
  </pivotFields>
  <rowFields count="1">
    <field x="0"/>
  </rowFields>
  <rowItems count="7">
    <i>
      <x/>
    </i>
    <i>
      <x v="1"/>
    </i>
    <i>
      <x v="2"/>
    </i>
    <i>
      <x v="3"/>
    </i>
    <i>
      <x v="4"/>
    </i>
    <i>
      <x v="5"/>
    </i>
    <i t="grand">
      <x/>
    </i>
  </rowItems>
  <colItems count="1">
    <i/>
  </colItems>
  <dataFields count="1">
    <dataField name="Count of Emp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t" sourceName="Dept">
  <pivotTables>
    <pivotTable tabId="7" name="PivotTable1"/>
    <pivotTable tabId="7" name="PivotTable2"/>
    <pivotTable tabId="7" name="PivotTable4"/>
    <pivotTable tabId="7" name="PivotTable5"/>
    <pivotTable tabId="7" name="PivotTable6"/>
    <pivotTable tabId="7" name="PivotTable7"/>
    <pivotTable tabId="7" name="PivotTable8"/>
  </pivotTables>
  <data>
    <tabular pivotCacheId="1">
      <items count="8">
        <i x="1" s="1"/>
        <i x="2" s="1"/>
        <i x="3" s="1"/>
        <i x="5" s="1"/>
        <i x="0" s="1"/>
        <i x="6" s="1"/>
        <i x="4"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ction" sourceName="Section">
  <pivotTables>
    <pivotTable tabId="7" name="PivotTable2"/>
    <pivotTable tabId="7" name="PivotTable1"/>
    <pivotTable tabId="7" name="PivotTable4"/>
    <pivotTable tabId="7" name="PivotTable5"/>
    <pivotTable tabId="7" name="PivotTable6"/>
    <pivotTable tabId="7" name="PivotTable7"/>
    <pivotTable tabId="7" name="PivotTable8"/>
  </pivotTables>
  <data>
    <tabular pivotCacheId="1">
      <items count="6">
        <i x="0" s="1"/>
        <i x="3" s="1"/>
        <i x="4" s="1"/>
        <i x="2"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7"/>
    <pivotTable tabId="7" name="PivotTable1"/>
    <pivotTable tabId="7" name="PivotTable2"/>
    <pivotTable tabId="7" name="PivotTable4"/>
    <pivotTable tabId="7" name="PivotTable5"/>
    <pivotTable tabId="7" name="PivotTable6"/>
    <pivotTable tabId="7" name="PivotTable8"/>
  </pivotTables>
  <data>
    <tabular pivotCacheId="1">
      <items count="10">
        <i x="1" s="1"/>
        <i x="2" s="1"/>
        <i x="0" s="1"/>
        <i x="3" s="1"/>
        <i x="6" s="1" nd="1"/>
        <i x="9" s="1" nd="1"/>
        <i x="4" s="1" nd="1"/>
        <i x="7" s="1" nd="1"/>
        <i x="5"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Nationality" sourceName="Nationality">
  <pivotTables>
    <pivotTable tabId="7" name="PivotTable6"/>
    <pivotTable tabId="7" name="PivotTable1"/>
    <pivotTable tabId="7" name="PivotTable2"/>
    <pivotTable tabId="7" name="PivotTable4"/>
    <pivotTable tabId="7" name="PivotTable5"/>
    <pivotTable tabId="7" name="PivotTable7"/>
    <pivotTable tabId="7" name="PivotTable8"/>
  </pivotTables>
  <data>
    <tabular pivotCacheId="1">
      <items count="5">
        <i x="1" s="1"/>
        <i x="0" s="1"/>
        <i x="2" s="1"/>
        <i x="3"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ire_Type" sourceName="Hire_Type">
  <pivotTables>
    <pivotTable tabId="7" name="PivotTable5"/>
    <pivotTable tabId="7" name="PivotTable1"/>
    <pivotTable tabId="7" name="PivotTable2"/>
    <pivotTable tabId="7" name="PivotTable4"/>
    <pivotTable tabId="7" name="PivotTable6"/>
    <pivotTable tabId="7" name="PivotTable7"/>
    <pivotTable tabId="7" name="PivotTable8"/>
  </pivotTables>
  <data>
    <tabular pivotCacheId="1">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7" name="PivotTable8"/>
    <pivotTable tabId="7" name="PivotTable1"/>
    <pivotTable tabId="7" name="PivotTable2"/>
    <pivotTable tabId="7" name="PivotTable4"/>
    <pivotTable tabId="7" name="PivotTable5"/>
    <pivotTable tabId="7" name="PivotTable6"/>
    <pivotTable tabId="7"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t" cache="Slicer_Dept" caption="Dept" startItem="4" rowHeight="241300"/>
  <slicer name="Section" cache="Slicer_Section" caption="Section" startItem="2" rowHeight="241300"/>
  <slicer name="Category" cache="Slicer_Category" caption="Category" rowHeight="241300"/>
  <slicer name="Nationality" cache="Slicer_Nationality" caption="Nationality" rowHeight="241300"/>
  <slicer name="Hire_Type" cache="Slicer_Hire_Type" caption="Hire_Type" rowHeight="241300"/>
  <slicer name="Status" cache="Slicer_Status" caption="Status" rowHeight="241300"/>
</slicers>
</file>

<file path=xl/tables/table1.xml><?xml version="1.0" encoding="utf-8"?>
<table xmlns="http://schemas.openxmlformats.org/spreadsheetml/2006/main" id="1" name="Table1" displayName="Table1" ref="A1:R36" totalsRowShown="0" dataDxfId="0">
  <autoFilter ref="A1:R36"/>
  <tableColumns count="18">
    <tableColumn id="1" name="Section" dataDxfId="18"/>
    <tableColumn id="2" name="Emp_ID" dataDxfId="17"/>
    <tableColumn id="3" name="Name" dataDxfId="16"/>
    <tableColumn id="4" name="Dept" dataDxfId="15"/>
    <tableColumn id="5" name="Category" dataDxfId="14"/>
    <tableColumn id="6" name="Level" dataDxfId="13"/>
    <tableColumn id="7" name="DOJ" dataDxfId="12"/>
    <tableColumn id="18" name="Monthly Salary" dataDxfId="11"/>
    <tableColumn id="8" name="Status" dataDxfId="10"/>
    <tableColumn id="9" name="Resign_Date" dataDxfId="9"/>
    <tableColumn id="10" name="Month" dataDxfId="8"/>
    <tableColumn id="11" name="Open_Positions" dataDxfId="7"/>
    <tableColumn id="19" name="Work Quota Permit" dataDxfId="6"/>
    <tableColumn id="12" name="Filled_Positions" dataDxfId="5"/>
    <tableColumn id="13" name="Hire_Type" dataDxfId="4"/>
    <tableColumn id="14" name="Source" dataDxfId="3"/>
    <tableColumn id="15" name="Nationality" dataDxfId="2"/>
    <tableColumn id="16" name="OT_Hours" dataDxfId="1"/>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Foundry">
  <a:themeElements>
    <a:clrScheme name="Foundry">
      <a:dk1>
        <a:sysClr val="windowText" lastClr="000000"/>
      </a:dk1>
      <a:lt1>
        <a:sysClr val="window" lastClr="FFFFFF"/>
      </a:lt1>
      <a:dk2>
        <a:srgbClr val="676A55"/>
      </a:dk2>
      <a:lt2>
        <a:srgbClr val="EAEBDE"/>
      </a:lt2>
      <a:accent1>
        <a:srgbClr val="72A376"/>
      </a:accent1>
      <a:accent2>
        <a:srgbClr val="B0CCB0"/>
      </a:accent2>
      <a:accent3>
        <a:srgbClr val="A8CDD7"/>
      </a:accent3>
      <a:accent4>
        <a:srgbClr val="C0BEAF"/>
      </a:accent4>
      <a:accent5>
        <a:srgbClr val="CEC597"/>
      </a:accent5>
      <a:accent6>
        <a:srgbClr val="E8B7B7"/>
      </a:accent6>
      <a:hlink>
        <a:srgbClr val="DB5353"/>
      </a:hlink>
      <a:folHlink>
        <a:srgbClr val="903638"/>
      </a:folHlink>
    </a:clrScheme>
    <a:fontScheme name="Foundry">
      <a:majorFont>
        <a:latin typeface="Rockwell"/>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Rockwell"/>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Foundry">
      <a:fillStyleLst>
        <a:solidFill>
          <a:schemeClr val="phClr"/>
        </a:solidFill>
        <a:gradFill rotWithShape="1">
          <a:gsLst>
            <a:gs pos="0">
              <a:schemeClr val="phClr">
                <a:tint val="70000"/>
                <a:satMod val="180000"/>
              </a:schemeClr>
            </a:gs>
            <a:gs pos="62000">
              <a:schemeClr val="phClr">
                <a:tint val="30000"/>
                <a:satMod val="180000"/>
              </a:schemeClr>
            </a:gs>
            <a:gs pos="100000">
              <a:schemeClr val="phClr">
                <a:tint val="22000"/>
                <a:satMod val="180000"/>
              </a:schemeClr>
            </a:gs>
          </a:gsLst>
          <a:lin ang="16200000" scaled="0"/>
        </a:gradFill>
        <a:gradFill rotWithShape="1">
          <a:gsLst>
            <a:gs pos="0">
              <a:schemeClr val="phClr">
                <a:shade val="58000"/>
                <a:satMod val="150000"/>
              </a:schemeClr>
            </a:gs>
            <a:gs pos="72000">
              <a:schemeClr val="phClr">
                <a:tint val="90000"/>
                <a:satMod val="135000"/>
              </a:schemeClr>
            </a:gs>
            <a:gs pos="100000">
              <a:schemeClr val="phClr">
                <a:tint val="80000"/>
                <a:satMod val="155000"/>
              </a:schemeClr>
            </a:gs>
          </a:gsLst>
          <a:lin ang="16200000" scaled="0"/>
        </a:gradFill>
      </a:fillStyleLst>
      <a:lnStyleLst>
        <a:ln w="9525" cap="flat" cmpd="sng" algn="ctr">
          <a:solidFill>
            <a:schemeClr val="phClr">
              <a:shade val="80000"/>
            </a:schemeClr>
          </a:solidFill>
          <a:prstDash val="solid"/>
        </a:ln>
        <a:ln w="38100" cap="flat" cmpd="sng" algn="ctr">
          <a:solidFill>
            <a:schemeClr val="phClr"/>
          </a:solidFill>
          <a:prstDash val="solid"/>
        </a:ln>
        <a:ln w="38100" cap="flat" cmpd="sng" algn="ctr">
          <a:solidFill>
            <a:schemeClr val="phClr"/>
          </a:solidFill>
          <a:prstDash val="solid"/>
        </a:ln>
      </a:lnStyleLst>
      <a:effectStyleLst>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scene3d>
            <a:camera prst="orthographicFront" fov="0">
              <a:rot lat="0" lon="0" rev="0"/>
            </a:camera>
            <a:lightRig rig="soft" dir="tl">
              <a:rot lat="0" lon="0" rev="20000000"/>
            </a:lightRig>
          </a:scene3d>
          <a:sp3d prstMaterial="matte">
            <a:bevelT w="63500" h="63500" prst="coolSlant"/>
          </a:sp3d>
        </a:effectStyle>
      </a:effectStyleLst>
      <a:bgFillStyleLst>
        <a:solidFill>
          <a:schemeClr val="phClr"/>
        </a:solidFill>
        <a:gradFill rotWithShape="1">
          <a:gsLst>
            <a:gs pos="0">
              <a:schemeClr val="phClr">
                <a:tint val="75000"/>
                <a:satMod val="400000"/>
              </a:schemeClr>
            </a:gs>
            <a:gs pos="20000">
              <a:schemeClr val="phClr">
                <a:tint val="80000"/>
                <a:satMod val="355000"/>
              </a:schemeClr>
            </a:gs>
            <a:gs pos="100000">
              <a:schemeClr val="phClr">
                <a:tint val="95000"/>
                <a:shade val="55000"/>
                <a:satMod val="355000"/>
              </a:schemeClr>
            </a:gs>
          </a:gsLst>
          <a:path path="circle">
            <a:fillToRect l="67500" t="35000" r="32500" b="65000"/>
          </a:path>
        </a:gradFill>
        <a:blipFill>
          <a:blip xmlns:r="http://schemas.openxmlformats.org/officeDocument/2006/relationships" r:embed="rId1">
            <a:duotone>
              <a:schemeClr val="phClr">
                <a:shade val="30000"/>
                <a:satMod val="120000"/>
              </a:schemeClr>
              <a:schemeClr val="phClr">
                <a:tint val="70000"/>
                <a:satMod val="250000"/>
              </a:schemeClr>
            </a:duotone>
          </a:blip>
          <a:tile tx="0" ty="0" sx="50000" sy="50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6"/>
  <sheetViews>
    <sheetView workbookViewId="0">
      <selection activeCell="E16" sqref="E16"/>
    </sheetView>
  </sheetViews>
  <sheetFormatPr defaultRowHeight="14.25" x14ac:dyDescent="0.2"/>
  <cols>
    <col min="1" max="1" width="9.625" customWidth="1"/>
    <col min="2" max="2" width="9.75" customWidth="1"/>
    <col min="4" max="4" width="10.625" customWidth="1"/>
    <col min="5" max="5" width="14" customWidth="1"/>
    <col min="7" max="7" width="10.625" customWidth="1"/>
    <col min="8" max="8" width="16.625" style="24" customWidth="1"/>
    <col min="10" max="10" width="14" customWidth="1"/>
    <col min="11" max="11" width="9.5" bestFit="1" customWidth="1"/>
    <col min="12" max="12" width="17" customWidth="1"/>
    <col min="13" max="13" width="21.375" bestFit="1" customWidth="1"/>
    <col min="14" max="14" width="17.25" customWidth="1"/>
    <col min="15" max="15" width="12" customWidth="1"/>
    <col min="17" max="17" width="12.875" customWidth="1"/>
    <col min="18" max="18" width="11.625" customWidth="1"/>
    <col min="41" max="41" width="18.25" bestFit="1" customWidth="1"/>
    <col min="42" max="42" width="11.5" customWidth="1"/>
  </cols>
  <sheetData>
    <row r="1" spans="1:42" ht="15" x14ac:dyDescent="0.2">
      <c r="A1" t="s">
        <v>0</v>
      </c>
      <c r="B1" t="s">
        <v>1</v>
      </c>
      <c r="C1" t="s">
        <v>2</v>
      </c>
      <c r="D1" t="s">
        <v>3</v>
      </c>
      <c r="E1" t="s">
        <v>4</v>
      </c>
      <c r="F1" t="s">
        <v>5</v>
      </c>
      <c r="G1" t="s">
        <v>6</v>
      </c>
      <c r="H1" s="24" t="s">
        <v>96</v>
      </c>
      <c r="I1" t="s">
        <v>7</v>
      </c>
      <c r="J1" t="s">
        <v>8</v>
      </c>
      <c r="K1" t="s">
        <v>9</v>
      </c>
      <c r="L1" t="s">
        <v>10</v>
      </c>
      <c r="M1" t="s">
        <v>100</v>
      </c>
      <c r="N1" t="s">
        <v>11</v>
      </c>
      <c r="O1" t="s">
        <v>12</v>
      </c>
      <c r="P1" t="s">
        <v>13</v>
      </c>
      <c r="Q1" t="s">
        <v>14</v>
      </c>
      <c r="R1" t="s">
        <v>15</v>
      </c>
      <c r="AL1" s="1"/>
      <c r="AM1" s="1"/>
      <c r="AO1" s="3" t="s">
        <v>29</v>
      </c>
      <c r="AP1">
        <f>GETPIVOTDATA("Emp_ID",Dashboard!$BU$1,"Status","Active")</f>
        <v>14</v>
      </c>
    </row>
    <row r="2" spans="1:42" ht="15.75" x14ac:dyDescent="0.25">
      <c r="A2" s="34" t="s">
        <v>16</v>
      </c>
      <c r="B2" s="34" t="s">
        <v>17</v>
      </c>
      <c r="C2" s="34" t="s">
        <v>31</v>
      </c>
      <c r="D2" s="34" t="s">
        <v>18</v>
      </c>
      <c r="E2" s="34" t="s">
        <v>19</v>
      </c>
      <c r="F2" s="34" t="s">
        <v>32</v>
      </c>
      <c r="G2" s="35">
        <v>45292</v>
      </c>
      <c r="H2" s="36">
        <v>1000</v>
      </c>
      <c r="I2" s="34" t="s">
        <v>20</v>
      </c>
      <c r="J2" s="34"/>
      <c r="K2" s="34"/>
      <c r="L2" s="34"/>
      <c r="M2" s="34"/>
      <c r="N2" s="34"/>
      <c r="O2" s="34"/>
      <c r="P2" s="34"/>
      <c r="Q2" s="34" t="s">
        <v>80</v>
      </c>
      <c r="R2" s="34"/>
      <c r="AM2" s="2"/>
      <c r="AO2" s="3" t="s">
        <v>30</v>
      </c>
      <c r="AP2">
        <f>GETPIVOTDATA("Sum of Open_Positions",Dashboard!$BF$1,"Section","Recruitment")</f>
        <v>158</v>
      </c>
    </row>
    <row r="3" spans="1:42" ht="15.75" x14ac:dyDescent="0.25">
      <c r="A3" s="34" t="s">
        <v>16</v>
      </c>
      <c r="B3" s="34" t="s">
        <v>33</v>
      </c>
      <c r="C3" s="34" t="s">
        <v>34</v>
      </c>
      <c r="D3" s="34" t="s">
        <v>35</v>
      </c>
      <c r="E3" s="34" t="s">
        <v>36</v>
      </c>
      <c r="F3" s="34" t="s">
        <v>37</v>
      </c>
      <c r="G3" s="34" t="s">
        <v>38</v>
      </c>
      <c r="H3" s="36">
        <v>1000000</v>
      </c>
      <c r="I3" s="34" t="s">
        <v>20</v>
      </c>
      <c r="J3" s="34"/>
      <c r="K3" s="34"/>
      <c r="L3" s="34"/>
      <c r="M3" s="34"/>
      <c r="N3" s="34"/>
      <c r="O3" s="34"/>
      <c r="P3" s="34"/>
      <c r="Q3" s="34" t="s">
        <v>83</v>
      </c>
      <c r="R3" s="34"/>
      <c r="AM3" s="2"/>
      <c r="AO3" t="s">
        <v>86</v>
      </c>
      <c r="AP3">
        <f>GETPIVOTDATA("Sum of Filled_Positions",Dashboard!$BF$1,"Section","Recruitment")</f>
        <v>102</v>
      </c>
    </row>
    <row r="4" spans="1:42" ht="15.75" x14ac:dyDescent="0.25">
      <c r="A4" s="34" t="s">
        <v>16</v>
      </c>
      <c r="B4" s="34" t="s">
        <v>39</v>
      </c>
      <c r="C4" s="34" t="s">
        <v>40</v>
      </c>
      <c r="D4" s="34" t="s">
        <v>41</v>
      </c>
      <c r="E4" s="34" t="s">
        <v>42</v>
      </c>
      <c r="F4" s="34" t="s">
        <v>43</v>
      </c>
      <c r="G4" s="35">
        <v>45201</v>
      </c>
      <c r="H4" s="36">
        <v>500000</v>
      </c>
      <c r="I4" s="34" t="s">
        <v>20</v>
      </c>
      <c r="J4" s="34"/>
      <c r="K4" s="34"/>
      <c r="L4" s="34"/>
      <c r="M4" s="34"/>
      <c r="N4" s="34"/>
      <c r="O4" s="34"/>
      <c r="P4" s="34"/>
      <c r="Q4" s="34" t="s">
        <v>70</v>
      </c>
      <c r="R4" s="34"/>
      <c r="AM4" s="2"/>
      <c r="AO4" t="s">
        <v>99</v>
      </c>
      <c r="AP4">
        <f>AP1-GETPIVOTDATA("Nationality",Dashboard!$BM$1,"Nationality","Pakistani")</f>
        <v>6</v>
      </c>
    </row>
    <row r="5" spans="1:42" ht="15.75" x14ac:dyDescent="0.25">
      <c r="A5" s="34" t="s">
        <v>16</v>
      </c>
      <c r="B5" s="34" t="s">
        <v>44</v>
      </c>
      <c r="C5" s="34" t="s">
        <v>45</v>
      </c>
      <c r="D5" s="34" t="s">
        <v>46</v>
      </c>
      <c r="E5" s="34" t="s">
        <v>36</v>
      </c>
      <c r="F5" s="34" t="s">
        <v>37</v>
      </c>
      <c r="G5" s="34" t="s">
        <v>47</v>
      </c>
      <c r="H5" s="36">
        <v>100000</v>
      </c>
      <c r="I5" s="34" t="s">
        <v>20</v>
      </c>
      <c r="J5" s="34"/>
      <c r="K5" s="34"/>
      <c r="L5" s="34"/>
      <c r="M5" s="34"/>
      <c r="N5" s="34"/>
      <c r="O5" s="34"/>
      <c r="P5" s="34"/>
      <c r="Q5" s="34" t="s">
        <v>80</v>
      </c>
      <c r="R5" s="34"/>
      <c r="AO5" t="s">
        <v>87</v>
      </c>
      <c r="AP5">
        <f>GETPIVOTDATA("Emp_ID",Dashboard!$BU$1,"Status","Resigned")</f>
        <v>3</v>
      </c>
    </row>
    <row r="6" spans="1:42" ht="15.75" x14ac:dyDescent="0.25">
      <c r="A6" s="34" t="s">
        <v>16</v>
      </c>
      <c r="B6" s="34" t="s">
        <v>48</v>
      </c>
      <c r="C6" s="34" t="s">
        <v>49</v>
      </c>
      <c r="D6" s="34" t="s">
        <v>50</v>
      </c>
      <c r="E6" s="34" t="s">
        <v>19</v>
      </c>
      <c r="F6" s="34" t="s">
        <v>32</v>
      </c>
      <c r="G6" s="35">
        <v>45603</v>
      </c>
      <c r="H6" s="36">
        <v>400000</v>
      </c>
      <c r="I6" s="34" t="s">
        <v>20</v>
      </c>
      <c r="J6" s="34"/>
      <c r="K6" s="34"/>
      <c r="L6" s="34"/>
      <c r="M6" s="34"/>
      <c r="N6" s="34"/>
      <c r="O6" s="34"/>
      <c r="P6" s="34"/>
      <c r="Q6" s="34" t="s">
        <v>83</v>
      </c>
      <c r="R6" s="34"/>
      <c r="AO6" s="3" t="s">
        <v>25</v>
      </c>
      <c r="AP6" s="16">
        <f>GETPIVOTDATA("Emp_ID",Dashboard!$AY$3,"Section","Hiring")</f>
        <v>6</v>
      </c>
    </row>
    <row r="7" spans="1:42" ht="15.75" x14ac:dyDescent="0.25">
      <c r="A7" s="34" t="s">
        <v>16</v>
      </c>
      <c r="B7" s="34" t="s">
        <v>51</v>
      </c>
      <c r="C7" s="34" t="s">
        <v>52</v>
      </c>
      <c r="D7" s="34" t="s">
        <v>53</v>
      </c>
      <c r="E7" s="34" t="s">
        <v>19</v>
      </c>
      <c r="F7" s="34" t="s">
        <v>32</v>
      </c>
      <c r="G7" s="34" t="s">
        <v>54</v>
      </c>
      <c r="H7" s="36">
        <v>100000</v>
      </c>
      <c r="I7" s="34" t="s">
        <v>20</v>
      </c>
      <c r="J7" s="34"/>
      <c r="K7" s="34"/>
      <c r="L7" s="34"/>
      <c r="M7" s="34"/>
      <c r="N7" s="34"/>
      <c r="O7" s="34"/>
      <c r="P7" s="34"/>
      <c r="Q7" s="34" t="s">
        <v>70</v>
      </c>
      <c r="R7" s="34"/>
      <c r="AO7" t="s">
        <v>98</v>
      </c>
      <c r="AP7">
        <f>AP1-AP4</f>
        <v>8</v>
      </c>
    </row>
    <row r="8" spans="1:42" ht="15.75" x14ac:dyDescent="0.25">
      <c r="A8" s="34" t="s">
        <v>16</v>
      </c>
      <c r="B8" s="34" t="s">
        <v>55</v>
      </c>
      <c r="C8" s="34" t="s">
        <v>56</v>
      </c>
      <c r="D8" s="34" t="s">
        <v>18</v>
      </c>
      <c r="E8" s="34" t="s">
        <v>36</v>
      </c>
      <c r="F8" s="34" t="s">
        <v>37</v>
      </c>
      <c r="G8" s="35">
        <v>45055</v>
      </c>
      <c r="H8" s="36">
        <v>200000</v>
      </c>
      <c r="I8" s="34" t="s">
        <v>20</v>
      </c>
      <c r="J8" s="34"/>
      <c r="K8" s="34"/>
      <c r="L8" s="34"/>
      <c r="M8" s="34"/>
      <c r="N8" s="34"/>
      <c r="O8" s="34"/>
      <c r="P8" s="34"/>
      <c r="Q8" s="34" t="s">
        <v>70</v>
      </c>
      <c r="R8" s="34"/>
      <c r="AO8" t="s">
        <v>102</v>
      </c>
      <c r="AP8">
        <f>GETPIVOTDATA("Sum of Work Quota Permit",Dashboard!$BF$1,"Section","Recruitment")</f>
        <v>22</v>
      </c>
    </row>
    <row r="9" spans="1:42" ht="15.75" x14ac:dyDescent="0.25">
      <c r="A9" s="34" t="s">
        <v>16</v>
      </c>
      <c r="B9" s="34" t="s">
        <v>57</v>
      </c>
      <c r="C9" s="34" t="s">
        <v>58</v>
      </c>
      <c r="D9" s="34" t="s">
        <v>59</v>
      </c>
      <c r="E9" s="34" t="s">
        <v>19</v>
      </c>
      <c r="F9" s="34" t="s">
        <v>32</v>
      </c>
      <c r="G9" s="35">
        <v>45637</v>
      </c>
      <c r="H9" s="36">
        <v>299999</v>
      </c>
      <c r="I9" s="34" t="s">
        <v>20</v>
      </c>
      <c r="J9" s="34"/>
      <c r="K9" s="34"/>
      <c r="L9" s="34"/>
      <c r="M9" s="34"/>
      <c r="N9" s="34"/>
      <c r="O9" s="34"/>
      <c r="P9" s="34"/>
      <c r="Q9" s="34" t="s">
        <v>70</v>
      </c>
      <c r="R9" s="34"/>
    </row>
    <row r="10" spans="1:42" ht="15.75" x14ac:dyDescent="0.25">
      <c r="A10" s="34" t="s">
        <v>21</v>
      </c>
      <c r="B10" s="34" t="s">
        <v>60</v>
      </c>
      <c r="C10" s="34" t="s">
        <v>61</v>
      </c>
      <c r="D10" s="34" t="s">
        <v>18</v>
      </c>
      <c r="E10" s="34" t="s">
        <v>19</v>
      </c>
      <c r="F10" s="34" t="s">
        <v>32</v>
      </c>
      <c r="G10" s="35">
        <v>45293</v>
      </c>
      <c r="H10" s="36"/>
      <c r="I10" s="34" t="s">
        <v>22</v>
      </c>
      <c r="J10" s="34" t="s">
        <v>23</v>
      </c>
      <c r="K10" s="34"/>
      <c r="L10" s="34"/>
      <c r="M10" s="34"/>
      <c r="N10" s="34"/>
      <c r="O10" s="34"/>
      <c r="P10" s="34"/>
      <c r="Q10" s="34"/>
      <c r="R10" s="34"/>
    </row>
    <row r="11" spans="1:42" ht="15.75" x14ac:dyDescent="0.25">
      <c r="A11" s="34" t="s">
        <v>21</v>
      </c>
      <c r="B11" s="34" t="s">
        <v>62</v>
      </c>
      <c r="C11" s="34" t="s">
        <v>63</v>
      </c>
      <c r="D11" s="34" t="s">
        <v>35</v>
      </c>
      <c r="E11" s="34" t="s">
        <v>36</v>
      </c>
      <c r="F11" s="34" t="s">
        <v>37</v>
      </c>
      <c r="G11" s="35">
        <v>44932</v>
      </c>
      <c r="H11" s="36"/>
      <c r="I11" s="34" t="s">
        <v>22</v>
      </c>
      <c r="J11" s="34" t="s">
        <v>64</v>
      </c>
      <c r="K11" s="34"/>
      <c r="L11" s="34"/>
      <c r="M11" s="34"/>
      <c r="N11" s="34"/>
      <c r="O11" s="34"/>
      <c r="P11" s="34"/>
      <c r="Q11" s="34"/>
      <c r="R11" s="34"/>
    </row>
    <row r="12" spans="1:42" ht="15.75" x14ac:dyDescent="0.25">
      <c r="A12" s="34" t="s">
        <v>21</v>
      </c>
      <c r="B12" s="34" t="s">
        <v>65</v>
      </c>
      <c r="C12" s="34" t="s">
        <v>66</v>
      </c>
      <c r="D12" s="34" t="s">
        <v>50</v>
      </c>
      <c r="E12" s="34" t="s">
        <v>19</v>
      </c>
      <c r="F12" s="34" t="s">
        <v>32</v>
      </c>
      <c r="G12" s="35">
        <v>45300</v>
      </c>
      <c r="H12" s="36"/>
      <c r="I12" s="34" t="s">
        <v>22</v>
      </c>
      <c r="J12" s="35">
        <v>46296</v>
      </c>
      <c r="K12" s="34"/>
      <c r="L12" s="34"/>
      <c r="M12" s="34"/>
      <c r="N12" s="34"/>
      <c r="O12" s="34"/>
      <c r="P12" s="34"/>
      <c r="Q12" s="34"/>
      <c r="R12" s="34"/>
    </row>
    <row r="13" spans="1:42" ht="15.75" x14ac:dyDescent="0.25">
      <c r="A13" s="34" t="s">
        <v>24</v>
      </c>
      <c r="B13" s="34"/>
      <c r="C13" s="34"/>
      <c r="D13" s="34" t="s">
        <v>18</v>
      </c>
      <c r="E13" s="34"/>
      <c r="F13" s="34"/>
      <c r="G13" s="34"/>
      <c r="H13" s="36"/>
      <c r="I13" s="34"/>
      <c r="J13" s="34"/>
      <c r="K13" s="37">
        <v>46048</v>
      </c>
      <c r="L13" s="34">
        <v>40</v>
      </c>
      <c r="M13" s="34">
        <v>5</v>
      </c>
      <c r="N13" s="34">
        <v>25</v>
      </c>
      <c r="O13" s="34"/>
      <c r="P13" s="34"/>
      <c r="Q13" s="34"/>
      <c r="R13" s="34"/>
    </row>
    <row r="14" spans="1:42" ht="15.75" x14ac:dyDescent="0.25">
      <c r="A14" s="34" t="s">
        <v>24</v>
      </c>
      <c r="B14" s="34"/>
      <c r="C14" s="34"/>
      <c r="D14" s="34" t="s">
        <v>46</v>
      </c>
      <c r="E14" s="34"/>
      <c r="F14" s="34"/>
      <c r="G14" s="34"/>
      <c r="H14" s="36"/>
      <c r="I14" s="34"/>
      <c r="J14" s="34"/>
      <c r="K14" s="37">
        <v>46048</v>
      </c>
      <c r="L14" s="34">
        <v>5</v>
      </c>
      <c r="M14" s="34">
        <v>1</v>
      </c>
      <c r="N14" s="34">
        <v>3</v>
      </c>
      <c r="O14" s="34"/>
      <c r="P14" s="34"/>
      <c r="Q14" s="34"/>
      <c r="R14" s="34"/>
    </row>
    <row r="15" spans="1:42" ht="15.75" x14ac:dyDescent="0.25">
      <c r="A15" s="34" t="s">
        <v>24</v>
      </c>
      <c r="B15" s="34"/>
      <c r="C15" s="34"/>
      <c r="D15" s="34" t="s">
        <v>50</v>
      </c>
      <c r="E15" s="34"/>
      <c r="F15" s="34"/>
      <c r="G15" s="34"/>
      <c r="H15" s="36"/>
      <c r="I15" s="34"/>
      <c r="J15" s="34"/>
      <c r="K15" s="37">
        <v>46048</v>
      </c>
      <c r="L15" s="34">
        <v>6</v>
      </c>
      <c r="M15" s="34">
        <v>2</v>
      </c>
      <c r="N15" s="34">
        <v>4</v>
      </c>
      <c r="O15" s="34"/>
      <c r="P15" s="34"/>
      <c r="Q15" s="34"/>
      <c r="R15" s="34"/>
    </row>
    <row r="16" spans="1:42" ht="15.75" x14ac:dyDescent="0.25">
      <c r="A16" s="34" t="s">
        <v>24</v>
      </c>
      <c r="B16" s="34"/>
      <c r="C16" s="34"/>
      <c r="D16" s="34" t="s">
        <v>18</v>
      </c>
      <c r="E16" s="34"/>
      <c r="F16" s="34"/>
      <c r="G16" s="34"/>
      <c r="H16" s="36"/>
      <c r="I16" s="34"/>
      <c r="J16" s="34"/>
      <c r="K16" s="37">
        <v>46079</v>
      </c>
      <c r="L16" s="34">
        <v>45</v>
      </c>
      <c r="M16" s="34">
        <v>8</v>
      </c>
      <c r="N16" s="34">
        <v>30</v>
      </c>
      <c r="O16" s="34"/>
      <c r="P16" s="34"/>
      <c r="Q16" s="34"/>
      <c r="R16" s="34"/>
    </row>
    <row r="17" spans="1:18" ht="15.75" x14ac:dyDescent="0.25">
      <c r="A17" s="34" t="s">
        <v>24</v>
      </c>
      <c r="B17" s="34"/>
      <c r="C17" s="34"/>
      <c r="D17" s="34" t="s">
        <v>35</v>
      </c>
      <c r="E17" s="34"/>
      <c r="F17" s="34"/>
      <c r="G17" s="34"/>
      <c r="H17" s="36"/>
      <c r="I17" s="34"/>
      <c r="J17" s="34"/>
      <c r="K17" s="37">
        <v>46079</v>
      </c>
      <c r="L17" s="34">
        <v>4</v>
      </c>
      <c r="M17" s="34">
        <v>0</v>
      </c>
      <c r="N17" s="34">
        <v>2</v>
      </c>
      <c r="O17" s="34"/>
      <c r="P17" s="34"/>
      <c r="Q17" s="34"/>
      <c r="R17" s="34"/>
    </row>
    <row r="18" spans="1:18" ht="15.75" x14ac:dyDescent="0.25">
      <c r="A18" s="34" t="s">
        <v>24</v>
      </c>
      <c r="B18" s="34"/>
      <c r="C18" s="34"/>
      <c r="D18" s="34" t="s">
        <v>50</v>
      </c>
      <c r="E18" s="34"/>
      <c r="F18" s="34"/>
      <c r="G18" s="34"/>
      <c r="H18" s="36"/>
      <c r="I18" s="34"/>
      <c r="J18" s="34"/>
      <c r="K18" s="37">
        <v>46079</v>
      </c>
      <c r="L18" s="34">
        <v>8</v>
      </c>
      <c r="M18" s="34">
        <v>1</v>
      </c>
      <c r="N18" s="34">
        <v>5</v>
      </c>
      <c r="O18" s="34"/>
      <c r="P18" s="34"/>
      <c r="Q18" s="34"/>
      <c r="R18" s="34"/>
    </row>
    <row r="19" spans="1:18" ht="15.75" x14ac:dyDescent="0.25">
      <c r="A19" s="34" t="s">
        <v>24</v>
      </c>
      <c r="B19" s="34"/>
      <c r="C19" s="34"/>
      <c r="D19" s="34" t="s">
        <v>18</v>
      </c>
      <c r="E19" s="34"/>
      <c r="F19" s="34"/>
      <c r="G19" s="34"/>
      <c r="H19" s="36"/>
      <c r="I19" s="34"/>
      <c r="J19" s="34"/>
      <c r="K19" s="37">
        <v>46107</v>
      </c>
      <c r="L19" s="34">
        <v>41</v>
      </c>
      <c r="M19" s="34">
        <v>4</v>
      </c>
      <c r="N19" s="34">
        <v>28</v>
      </c>
      <c r="O19" s="34"/>
      <c r="P19" s="34"/>
      <c r="Q19" s="34"/>
      <c r="R19" s="34"/>
    </row>
    <row r="20" spans="1:18" ht="15.75" x14ac:dyDescent="0.25">
      <c r="A20" s="34" t="s">
        <v>24</v>
      </c>
      <c r="B20" s="34"/>
      <c r="C20" s="34"/>
      <c r="D20" s="34" t="s">
        <v>53</v>
      </c>
      <c r="E20" s="34"/>
      <c r="F20" s="34"/>
      <c r="G20" s="34"/>
      <c r="H20" s="36"/>
      <c r="I20" s="34"/>
      <c r="J20" s="34"/>
      <c r="K20" s="37">
        <v>46107</v>
      </c>
      <c r="L20" s="34">
        <v>6</v>
      </c>
      <c r="M20" s="34">
        <v>1</v>
      </c>
      <c r="N20" s="34">
        <v>3</v>
      </c>
      <c r="O20" s="34"/>
      <c r="P20" s="34"/>
      <c r="Q20" s="34"/>
      <c r="R20" s="34"/>
    </row>
    <row r="21" spans="1:18" ht="15.75" x14ac:dyDescent="0.25">
      <c r="A21" s="34" t="s">
        <v>24</v>
      </c>
      <c r="B21" s="34"/>
      <c r="C21" s="34"/>
      <c r="D21" s="34" t="s">
        <v>59</v>
      </c>
      <c r="E21" s="34"/>
      <c r="F21" s="34"/>
      <c r="G21" s="34"/>
      <c r="H21" s="36"/>
      <c r="I21" s="34"/>
      <c r="J21" s="34"/>
      <c r="K21" s="37">
        <v>46107</v>
      </c>
      <c r="L21" s="34">
        <v>3</v>
      </c>
      <c r="M21" s="34">
        <v>0</v>
      </c>
      <c r="N21" s="34">
        <v>2</v>
      </c>
      <c r="O21" s="34"/>
      <c r="P21" s="34"/>
      <c r="Q21" s="34"/>
      <c r="R21" s="34"/>
    </row>
    <row r="22" spans="1:18" ht="15.75" x14ac:dyDescent="0.25">
      <c r="A22" s="34" t="s">
        <v>25</v>
      </c>
      <c r="B22" s="34" t="s">
        <v>67</v>
      </c>
      <c r="C22" s="34" t="s">
        <v>68</v>
      </c>
      <c r="D22" s="34" t="s">
        <v>18</v>
      </c>
      <c r="E22" s="34" t="s">
        <v>19</v>
      </c>
      <c r="F22" s="34" t="s">
        <v>32</v>
      </c>
      <c r="G22" s="35">
        <v>46025</v>
      </c>
      <c r="H22" s="36"/>
      <c r="I22" s="34" t="s">
        <v>20</v>
      </c>
      <c r="J22" s="34"/>
      <c r="K22" s="37">
        <v>46107</v>
      </c>
      <c r="L22" s="34"/>
      <c r="M22" s="34"/>
      <c r="N22" s="34"/>
      <c r="O22" s="34" t="s">
        <v>69</v>
      </c>
      <c r="P22" s="34" t="s">
        <v>27</v>
      </c>
      <c r="Q22" s="34" t="s">
        <v>70</v>
      </c>
      <c r="R22" s="34"/>
    </row>
    <row r="23" spans="1:18" ht="15.75" x14ac:dyDescent="0.25">
      <c r="A23" s="34" t="s">
        <v>25</v>
      </c>
      <c r="B23" s="34" t="s">
        <v>71</v>
      </c>
      <c r="C23" s="34" t="s">
        <v>72</v>
      </c>
      <c r="D23" s="34" t="s">
        <v>35</v>
      </c>
      <c r="E23" s="34" t="s">
        <v>36</v>
      </c>
      <c r="F23" s="34" t="s">
        <v>37</v>
      </c>
      <c r="G23" s="35">
        <v>46056</v>
      </c>
      <c r="H23" s="36"/>
      <c r="I23" s="34" t="s">
        <v>20</v>
      </c>
      <c r="J23" s="34"/>
      <c r="K23" s="37">
        <v>46107</v>
      </c>
      <c r="L23" s="34"/>
      <c r="M23" s="34"/>
      <c r="N23" s="34"/>
      <c r="O23" s="34" t="s">
        <v>26</v>
      </c>
      <c r="P23" s="34" t="s">
        <v>73</v>
      </c>
      <c r="Q23" s="34" t="s">
        <v>70</v>
      </c>
      <c r="R23" s="34"/>
    </row>
    <row r="24" spans="1:18" ht="15.75" x14ac:dyDescent="0.25">
      <c r="A24" s="34" t="s">
        <v>25</v>
      </c>
      <c r="B24" s="34" t="s">
        <v>74</v>
      </c>
      <c r="C24" s="34" t="s">
        <v>75</v>
      </c>
      <c r="D24" s="34" t="s">
        <v>50</v>
      </c>
      <c r="E24" s="34" t="s">
        <v>19</v>
      </c>
      <c r="F24" s="34" t="s">
        <v>32</v>
      </c>
      <c r="G24" s="35">
        <v>46084</v>
      </c>
      <c r="H24" s="36"/>
      <c r="I24" s="34" t="s">
        <v>20</v>
      </c>
      <c r="J24" s="34"/>
      <c r="K24" s="37">
        <v>46107</v>
      </c>
      <c r="L24" s="34"/>
      <c r="M24" s="34"/>
      <c r="N24" s="34"/>
      <c r="O24" s="34" t="s">
        <v>69</v>
      </c>
      <c r="P24" s="34" t="s">
        <v>76</v>
      </c>
      <c r="Q24" s="34" t="s">
        <v>70</v>
      </c>
      <c r="R24" s="34"/>
    </row>
    <row r="25" spans="1:18" ht="15.75" x14ac:dyDescent="0.25">
      <c r="A25" s="34" t="s">
        <v>25</v>
      </c>
      <c r="B25" s="34" t="s">
        <v>77</v>
      </c>
      <c r="C25" s="34" t="s">
        <v>78</v>
      </c>
      <c r="D25" s="34" t="s">
        <v>46</v>
      </c>
      <c r="E25" s="34" t="s">
        <v>36</v>
      </c>
      <c r="F25" s="34" t="s">
        <v>37</v>
      </c>
      <c r="G25" s="35">
        <v>46145</v>
      </c>
      <c r="H25" s="36"/>
      <c r="I25" s="34" t="s">
        <v>20</v>
      </c>
      <c r="J25" s="34"/>
      <c r="K25" s="37">
        <v>46107</v>
      </c>
      <c r="L25" s="34"/>
      <c r="M25" s="34"/>
      <c r="N25" s="34"/>
      <c r="O25" s="34" t="s">
        <v>26</v>
      </c>
      <c r="P25" s="34" t="s">
        <v>79</v>
      </c>
      <c r="Q25" s="34" t="s">
        <v>80</v>
      </c>
      <c r="R25" s="34"/>
    </row>
    <row r="26" spans="1:18" ht="15.75" x14ac:dyDescent="0.25">
      <c r="A26" s="34" t="s">
        <v>25</v>
      </c>
      <c r="B26" s="34" t="s">
        <v>81</v>
      </c>
      <c r="C26" s="34" t="s">
        <v>82</v>
      </c>
      <c r="D26" s="34" t="s">
        <v>18</v>
      </c>
      <c r="E26" s="34" t="s">
        <v>19</v>
      </c>
      <c r="F26" s="34" t="s">
        <v>32</v>
      </c>
      <c r="G26" s="35">
        <v>46176</v>
      </c>
      <c r="H26" s="36"/>
      <c r="I26" s="34" t="s">
        <v>20</v>
      </c>
      <c r="J26" s="34"/>
      <c r="K26" s="37">
        <v>46107</v>
      </c>
      <c r="L26" s="34"/>
      <c r="M26" s="34"/>
      <c r="N26" s="34"/>
      <c r="O26" s="34" t="s">
        <v>26</v>
      </c>
      <c r="P26" s="34" t="s">
        <v>27</v>
      </c>
      <c r="Q26" s="34" t="s">
        <v>83</v>
      </c>
      <c r="R26" s="34"/>
    </row>
    <row r="27" spans="1:18" ht="15.75" x14ac:dyDescent="0.25">
      <c r="A27" s="34" t="s">
        <v>25</v>
      </c>
      <c r="B27" s="34" t="s">
        <v>84</v>
      </c>
      <c r="C27" s="34" t="s">
        <v>85</v>
      </c>
      <c r="D27" s="34" t="s">
        <v>59</v>
      </c>
      <c r="E27" s="34" t="s">
        <v>19</v>
      </c>
      <c r="F27" s="34" t="s">
        <v>32</v>
      </c>
      <c r="G27" s="35">
        <v>46206</v>
      </c>
      <c r="H27" s="36"/>
      <c r="I27" s="34" t="s">
        <v>20</v>
      </c>
      <c r="J27" s="34"/>
      <c r="K27" s="37">
        <v>46107</v>
      </c>
      <c r="L27" s="34"/>
      <c r="M27" s="34"/>
      <c r="N27" s="34"/>
      <c r="O27" s="34" t="s">
        <v>69</v>
      </c>
      <c r="P27" s="34" t="s">
        <v>73</v>
      </c>
      <c r="Q27" s="34" t="s">
        <v>70</v>
      </c>
      <c r="R27" s="34"/>
    </row>
    <row r="28" spans="1:18" ht="15.75" x14ac:dyDescent="0.25">
      <c r="A28" s="34" t="s">
        <v>28</v>
      </c>
      <c r="B28" s="34" t="s">
        <v>17</v>
      </c>
      <c r="C28" s="34" t="s">
        <v>31</v>
      </c>
      <c r="D28" s="34" t="s">
        <v>18</v>
      </c>
      <c r="E28" s="34"/>
      <c r="F28" s="34"/>
      <c r="G28" s="34"/>
      <c r="H28" s="36"/>
      <c r="I28" s="34"/>
      <c r="J28" s="34"/>
      <c r="K28" s="37">
        <v>46048</v>
      </c>
      <c r="L28" s="34"/>
      <c r="M28" s="34"/>
      <c r="N28" s="34"/>
      <c r="O28" s="34"/>
      <c r="P28" s="34"/>
      <c r="Q28" s="34"/>
      <c r="R28" s="34">
        <v>32</v>
      </c>
    </row>
    <row r="29" spans="1:18" ht="15.75" x14ac:dyDescent="0.25">
      <c r="A29" s="34" t="s">
        <v>28</v>
      </c>
      <c r="B29" s="34" t="s">
        <v>33</v>
      </c>
      <c r="C29" s="34" t="s">
        <v>34</v>
      </c>
      <c r="D29" s="34" t="s">
        <v>35</v>
      </c>
      <c r="E29" s="34"/>
      <c r="F29" s="34"/>
      <c r="G29" s="34"/>
      <c r="H29" s="36"/>
      <c r="I29" s="34"/>
      <c r="J29" s="34"/>
      <c r="K29" s="37">
        <v>46048</v>
      </c>
      <c r="L29" s="34"/>
      <c r="M29" s="34"/>
      <c r="N29" s="34"/>
      <c r="O29" s="34"/>
      <c r="P29" s="34"/>
      <c r="Q29" s="34"/>
      <c r="R29" s="34">
        <v>12</v>
      </c>
    </row>
    <row r="30" spans="1:18" ht="15.75" x14ac:dyDescent="0.25">
      <c r="A30" s="34" t="s">
        <v>28</v>
      </c>
      <c r="B30" s="34" t="s">
        <v>39</v>
      </c>
      <c r="C30" s="34" t="s">
        <v>40</v>
      </c>
      <c r="D30" s="34" t="s">
        <v>41</v>
      </c>
      <c r="E30" s="34"/>
      <c r="F30" s="34"/>
      <c r="G30" s="34"/>
      <c r="H30" s="36"/>
      <c r="I30" s="34"/>
      <c r="J30" s="34"/>
      <c r="K30" s="37">
        <v>46048</v>
      </c>
      <c r="L30" s="34"/>
      <c r="M30" s="34"/>
      <c r="N30" s="34"/>
      <c r="O30" s="34"/>
      <c r="P30" s="34"/>
      <c r="Q30" s="34"/>
      <c r="R30" s="34">
        <v>8</v>
      </c>
    </row>
    <row r="31" spans="1:18" ht="15.75" x14ac:dyDescent="0.25">
      <c r="A31" s="34" t="s">
        <v>28</v>
      </c>
      <c r="B31" s="34" t="s">
        <v>44</v>
      </c>
      <c r="C31" s="34" t="s">
        <v>45</v>
      </c>
      <c r="D31" s="34" t="s">
        <v>46</v>
      </c>
      <c r="E31" s="34"/>
      <c r="F31" s="34"/>
      <c r="G31" s="34"/>
      <c r="H31" s="36"/>
      <c r="I31" s="34"/>
      <c r="J31" s="34"/>
      <c r="K31" s="37">
        <v>46079</v>
      </c>
      <c r="L31" s="34"/>
      <c r="M31" s="34"/>
      <c r="N31" s="34"/>
      <c r="O31" s="34"/>
      <c r="P31" s="34"/>
      <c r="Q31" s="34"/>
      <c r="R31" s="34">
        <v>15</v>
      </c>
    </row>
    <row r="32" spans="1:18" ht="15.75" x14ac:dyDescent="0.25">
      <c r="A32" s="34" t="s">
        <v>28</v>
      </c>
      <c r="B32" s="34" t="s">
        <v>48</v>
      </c>
      <c r="C32" s="34" t="s">
        <v>49</v>
      </c>
      <c r="D32" s="34" t="s">
        <v>50</v>
      </c>
      <c r="E32" s="34"/>
      <c r="F32" s="34"/>
      <c r="G32" s="34"/>
      <c r="H32" s="36"/>
      <c r="I32" s="34"/>
      <c r="J32" s="34"/>
      <c r="K32" s="37">
        <v>46079</v>
      </c>
      <c r="L32" s="34"/>
      <c r="M32" s="34"/>
      <c r="N32" s="34"/>
      <c r="O32" s="34"/>
      <c r="P32" s="34"/>
      <c r="Q32" s="34"/>
      <c r="R32" s="34">
        <v>18</v>
      </c>
    </row>
    <row r="33" spans="1:18" ht="15.75" x14ac:dyDescent="0.25">
      <c r="A33" s="34" t="s">
        <v>28</v>
      </c>
      <c r="B33" s="34" t="s">
        <v>51</v>
      </c>
      <c r="C33" s="34" t="s">
        <v>52</v>
      </c>
      <c r="D33" s="34" t="s">
        <v>53</v>
      </c>
      <c r="E33" s="34"/>
      <c r="F33" s="34"/>
      <c r="G33" s="34"/>
      <c r="H33" s="36"/>
      <c r="I33" s="34"/>
      <c r="J33" s="34"/>
      <c r="K33" s="37">
        <v>46079</v>
      </c>
      <c r="L33" s="34"/>
      <c r="M33" s="34"/>
      <c r="N33" s="34"/>
      <c r="O33" s="34"/>
      <c r="P33" s="34"/>
      <c r="Q33" s="34"/>
      <c r="R33" s="34">
        <v>25</v>
      </c>
    </row>
    <row r="34" spans="1:18" ht="15.75" x14ac:dyDescent="0.25">
      <c r="A34" s="34" t="s">
        <v>28</v>
      </c>
      <c r="B34" s="34" t="s">
        <v>55</v>
      </c>
      <c r="C34" s="34" t="s">
        <v>56</v>
      </c>
      <c r="D34" s="34" t="s">
        <v>18</v>
      </c>
      <c r="E34" s="34"/>
      <c r="F34" s="34"/>
      <c r="G34" s="34"/>
      <c r="H34" s="36"/>
      <c r="I34" s="34"/>
      <c r="J34" s="34"/>
      <c r="K34" s="37">
        <v>46107</v>
      </c>
      <c r="L34" s="34"/>
      <c r="M34" s="34"/>
      <c r="N34" s="34"/>
      <c r="O34" s="34"/>
      <c r="P34" s="34"/>
      <c r="Q34" s="34"/>
      <c r="R34" s="34">
        <v>35</v>
      </c>
    </row>
    <row r="35" spans="1:18" ht="15.75" x14ac:dyDescent="0.25">
      <c r="A35" s="34" t="s">
        <v>28</v>
      </c>
      <c r="B35" s="34" t="s">
        <v>57</v>
      </c>
      <c r="C35" s="34" t="s">
        <v>58</v>
      </c>
      <c r="D35" s="34" t="s">
        <v>59</v>
      </c>
      <c r="E35" s="34"/>
      <c r="F35" s="34"/>
      <c r="G35" s="34"/>
      <c r="H35" s="36"/>
      <c r="I35" s="34"/>
      <c r="J35" s="34"/>
      <c r="K35" s="37">
        <v>46107</v>
      </c>
      <c r="L35" s="34"/>
      <c r="M35" s="34"/>
      <c r="N35" s="34"/>
      <c r="O35" s="34"/>
      <c r="P35" s="34"/>
      <c r="Q35" s="34"/>
      <c r="R35" s="34">
        <v>20</v>
      </c>
    </row>
    <row r="36" spans="1:18" ht="15.75" x14ac:dyDescent="0.25">
      <c r="A36" s="34"/>
      <c r="B36" s="34"/>
      <c r="C36" s="34"/>
      <c r="D36" s="34"/>
      <c r="E36" s="34"/>
      <c r="F36" s="34"/>
      <c r="G36" s="34"/>
      <c r="H36" s="36"/>
      <c r="I36" s="34"/>
      <c r="J36" s="34"/>
      <c r="K36" s="34"/>
      <c r="L36" s="34"/>
      <c r="M36" s="34"/>
      <c r="N36" s="34"/>
      <c r="O36" s="34"/>
      <c r="P36" s="34"/>
      <c r="Q36" s="34"/>
      <c r="R36" s="34"/>
    </row>
  </sheetData>
  <protectedRanges>
    <protectedRange password="CF7A" sqref="AO1:AP6" name="Range1"/>
  </protectedRange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41"/>
  <sheetViews>
    <sheetView showGridLines="0" tabSelected="1" zoomScaleNormal="100" workbookViewId="0">
      <selection sqref="A1:L2"/>
    </sheetView>
  </sheetViews>
  <sheetFormatPr defaultRowHeight="14.25" x14ac:dyDescent="0.2"/>
  <cols>
    <col min="1" max="2" width="12.875" style="4" customWidth="1"/>
    <col min="3" max="6" width="12.375" style="4" customWidth="1"/>
    <col min="7" max="8" width="9" style="4"/>
    <col min="9" max="10" width="10.875" style="4" customWidth="1"/>
    <col min="11" max="12" width="12.875" style="4" customWidth="1"/>
    <col min="13" max="45" width="9" style="4"/>
    <col min="46" max="46" width="13.625" style="4" customWidth="1"/>
    <col min="47" max="47" width="16.75" style="4" customWidth="1"/>
    <col min="48" max="50" width="9" style="4"/>
    <col min="51" max="51" width="13.625" style="4" customWidth="1"/>
    <col min="52" max="52" width="16.75" style="4" customWidth="1"/>
    <col min="53" max="53" width="7.25" style="4" customWidth="1"/>
    <col min="54" max="54" width="11.25" style="4" customWidth="1"/>
    <col min="55" max="55" width="14" style="4" customWidth="1"/>
    <col min="56" max="56" width="16.75" style="4" customWidth="1"/>
    <col min="57" max="57" width="7.25" style="4" customWidth="1"/>
    <col min="58" max="58" width="13.625" style="4" customWidth="1"/>
    <col min="59" max="59" width="22.5" style="4" customWidth="1"/>
    <col min="60" max="60" width="22.875" style="4" customWidth="1"/>
    <col min="61" max="61" width="26.25" style="4" customWidth="1"/>
    <col min="62" max="62" width="13.625" style="4" customWidth="1"/>
    <col min="63" max="64" width="19" style="4" customWidth="1"/>
    <col min="65" max="65" width="19.625" style="4" customWidth="1"/>
    <col min="66" max="66" width="17.125" style="4" customWidth="1"/>
    <col min="67" max="67" width="6.75" style="4" customWidth="1"/>
    <col min="68" max="68" width="9.625" style="4" customWidth="1"/>
    <col min="69" max="69" width="7.375" style="4" customWidth="1"/>
    <col min="70" max="70" width="12" style="4" customWidth="1"/>
    <col min="71" max="71" width="11.25" style="4" customWidth="1"/>
    <col min="72" max="72" width="9" style="4"/>
    <col min="73" max="73" width="13.625" style="4" customWidth="1"/>
    <col min="74" max="74" width="16.75" style="4" customWidth="1"/>
    <col min="75" max="16384" width="9" style="4"/>
  </cols>
  <sheetData>
    <row r="1" spans="1:74" ht="41.25" customHeight="1" x14ac:dyDescent="0.2">
      <c r="A1" s="22" t="s">
        <v>29</v>
      </c>
      <c r="B1" s="22"/>
      <c r="C1" s="22"/>
      <c r="D1" s="22"/>
      <c r="E1" s="22"/>
      <c r="F1" s="22"/>
      <c r="G1" s="22"/>
      <c r="H1" s="22"/>
      <c r="I1" s="22"/>
      <c r="J1" s="22"/>
      <c r="K1" s="22"/>
      <c r="L1" s="22"/>
      <c r="M1" s="20"/>
      <c r="N1" s="20"/>
      <c r="O1" s="20"/>
      <c r="P1" s="7"/>
      <c r="AT1" s="17" t="s">
        <v>88</v>
      </c>
      <c r="AU1" t="s">
        <v>91</v>
      </c>
      <c r="AV1"/>
      <c r="AY1"/>
      <c r="AZ1"/>
      <c r="BA1"/>
      <c r="BC1" s="17" t="s">
        <v>88</v>
      </c>
      <c r="BD1" t="s">
        <v>91</v>
      </c>
      <c r="BE1"/>
      <c r="BF1" s="17" t="s">
        <v>88</v>
      </c>
      <c r="BG1" t="s">
        <v>93</v>
      </c>
      <c r="BH1" t="s">
        <v>94</v>
      </c>
      <c r="BI1" t="s">
        <v>101</v>
      </c>
      <c r="BJ1" s="17" t="s">
        <v>88</v>
      </c>
      <c r="BK1" t="s">
        <v>95</v>
      </c>
      <c r="BL1"/>
      <c r="BM1" s="17" t="s">
        <v>97</v>
      </c>
      <c r="BN1" s="17" t="s">
        <v>92</v>
      </c>
      <c r="BO1"/>
      <c r="BP1"/>
      <c r="BQ1"/>
      <c r="BR1"/>
      <c r="BS1"/>
      <c r="BU1" s="17" t="s">
        <v>88</v>
      </c>
      <c r="BV1" t="s">
        <v>91</v>
      </c>
    </row>
    <row r="2" spans="1:74" ht="41.25" customHeight="1" thickBot="1" x14ac:dyDescent="0.25">
      <c r="A2" s="23"/>
      <c r="B2" s="23"/>
      <c r="C2" s="23"/>
      <c r="D2" s="23"/>
      <c r="E2" s="23"/>
      <c r="F2" s="23"/>
      <c r="G2" s="23"/>
      <c r="H2" s="23"/>
      <c r="I2" s="23"/>
      <c r="J2" s="23"/>
      <c r="K2" s="23"/>
      <c r="L2" s="23"/>
      <c r="M2" s="21"/>
      <c r="N2" s="21"/>
      <c r="O2" s="21"/>
      <c r="P2" s="8"/>
      <c r="AT2" s="18" t="s">
        <v>35</v>
      </c>
      <c r="AU2" s="19">
        <v>4</v>
      </c>
      <c r="AV2"/>
      <c r="AY2"/>
      <c r="AZ2"/>
      <c r="BA2"/>
      <c r="BC2" s="18" t="s">
        <v>36</v>
      </c>
      <c r="BD2" s="19">
        <v>6</v>
      </c>
      <c r="BE2"/>
      <c r="BF2" s="18" t="s">
        <v>16</v>
      </c>
      <c r="BG2" s="19"/>
      <c r="BH2" s="19"/>
      <c r="BI2" s="19"/>
      <c r="BJ2" s="18" t="s">
        <v>16</v>
      </c>
      <c r="BK2" s="19"/>
      <c r="BL2"/>
      <c r="BM2" s="17" t="s">
        <v>88</v>
      </c>
      <c r="BN2" t="s">
        <v>83</v>
      </c>
      <c r="BO2" t="s">
        <v>80</v>
      </c>
      <c r="BP2" t="s">
        <v>70</v>
      </c>
      <c r="BQ2" t="s">
        <v>89</v>
      </c>
      <c r="BR2" t="s">
        <v>90</v>
      </c>
      <c r="BS2"/>
      <c r="BU2" s="18" t="s">
        <v>20</v>
      </c>
      <c r="BV2" s="19">
        <v>14</v>
      </c>
    </row>
    <row r="3" spans="1:74" ht="15" customHeight="1" thickTop="1" x14ac:dyDescent="0.2">
      <c r="A3" s="25" t="str">
        <f>Data!AO1 &amp;  CHAR(10)  &amp;  Data!AP1</f>
        <v>Total Employees
14</v>
      </c>
      <c r="B3" s="26"/>
      <c r="C3" s="25" t="str">
        <f>Data!AO7 &amp;  CHAR(10)  &amp;  Data!AP7</f>
        <v>Local Employees
8</v>
      </c>
      <c r="D3" s="31"/>
      <c r="E3" s="31"/>
      <c r="F3" s="26"/>
      <c r="G3" s="25" t="str">
        <f>Data!AO4 &amp;  CHAR(10)  &amp;  Data!AP4</f>
        <v>Foreign Employees
6</v>
      </c>
      <c r="H3" s="31"/>
      <c r="I3" s="31"/>
      <c r="J3" s="26"/>
      <c r="K3" s="25" t="str">
        <f>Data!AO6 &amp;  CHAR(10)  &amp; ROUND( Data!AP6,0)</f>
        <v>Hiring
6</v>
      </c>
      <c r="L3" s="26"/>
      <c r="M3" s="9"/>
      <c r="N3" s="9"/>
      <c r="O3" s="10"/>
      <c r="AT3" s="18" t="s">
        <v>41</v>
      </c>
      <c r="AU3" s="19">
        <v>2</v>
      </c>
      <c r="AV3"/>
      <c r="AY3" s="17" t="s">
        <v>88</v>
      </c>
      <c r="AZ3" t="s">
        <v>91</v>
      </c>
      <c r="BA3"/>
      <c r="BB3"/>
      <c r="BC3" s="18" t="s">
        <v>42</v>
      </c>
      <c r="BD3" s="19">
        <v>1</v>
      </c>
      <c r="BE3"/>
      <c r="BF3" s="18" t="s">
        <v>25</v>
      </c>
      <c r="BG3" s="19"/>
      <c r="BH3" s="19"/>
      <c r="BI3" s="19"/>
      <c r="BJ3" s="18" t="s">
        <v>25</v>
      </c>
      <c r="BK3" s="19">
        <v>6</v>
      </c>
      <c r="BL3"/>
      <c r="BM3" s="18" t="s">
        <v>16</v>
      </c>
      <c r="BN3" s="19">
        <v>2</v>
      </c>
      <c r="BO3" s="19">
        <v>2</v>
      </c>
      <c r="BP3" s="19">
        <v>4</v>
      </c>
      <c r="BQ3" s="19"/>
      <c r="BR3" s="19">
        <v>8</v>
      </c>
      <c r="BS3"/>
      <c r="BU3" s="18" t="s">
        <v>22</v>
      </c>
      <c r="BV3" s="19">
        <v>3</v>
      </c>
    </row>
    <row r="4" spans="1:74" ht="15" customHeight="1" x14ac:dyDescent="0.2">
      <c r="A4" s="27"/>
      <c r="B4" s="28"/>
      <c r="C4" s="27"/>
      <c r="D4" s="32"/>
      <c r="E4" s="32"/>
      <c r="F4" s="28"/>
      <c r="G4" s="27"/>
      <c r="H4" s="32"/>
      <c r="I4" s="32"/>
      <c r="J4" s="28"/>
      <c r="K4" s="27"/>
      <c r="L4" s="28"/>
      <c r="M4" s="11"/>
      <c r="N4" s="11"/>
      <c r="O4" s="12"/>
      <c r="AT4" s="18" t="s">
        <v>46</v>
      </c>
      <c r="AU4" s="19">
        <v>3</v>
      </c>
      <c r="AV4"/>
      <c r="AY4" s="18" t="s">
        <v>16</v>
      </c>
      <c r="AZ4" s="19">
        <v>8</v>
      </c>
      <c r="BA4"/>
      <c r="BB4"/>
      <c r="BC4" s="18" t="s">
        <v>19</v>
      </c>
      <c r="BD4" s="19">
        <v>10</v>
      </c>
      <c r="BE4"/>
      <c r="BF4" s="18" t="s">
        <v>28</v>
      </c>
      <c r="BG4" s="19"/>
      <c r="BH4" s="19"/>
      <c r="BI4" s="19"/>
      <c r="BJ4" s="18" t="s">
        <v>28</v>
      </c>
      <c r="BK4" s="19"/>
      <c r="BM4" s="18" t="s">
        <v>25</v>
      </c>
      <c r="BN4" s="19">
        <v>1</v>
      </c>
      <c r="BO4" s="19">
        <v>1</v>
      </c>
      <c r="BP4" s="19">
        <v>4</v>
      </c>
      <c r="BQ4" s="19"/>
      <c r="BR4" s="19">
        <v>6</v>
      </c>
      <c r="BS4"/>
      <c r="BU4" s="18" t="s">
        <v>89</v>
      </c>
      <c r="BV4" s="19">
        <v>8</v>
      </c>
    </row>
    <row r="5" spans="1:74" ht="15" customHeight="1" x14ac:dyDescent="0.2">
      <c r="A5" s="27"/>
      <c r="B5" s="28"/>
      <c r="C5" s="27"/>
      <c r="D5" s="32"/>
      <c r="E5" s="32"/>
      <c r="F5" s="28"/>
      <c r="G5" s="27"/>
      <c r="H5" s="32"/>
      <c r="I5" s="32"/>
      <c r="J5" s="28"/>
      <c r="K5" s="27"/>
      <c r="L5" s="28"/>
      <c r="M5" s="11"/>
      <c r="N5" s="11"/>
      <c r="O5" s="12"/>
      <c r="AB5"/>
      <c r="AT5" s="18" t="s">
        <v>53</v>
      </c>
      <c r="AU5" s="19">
        <v>2</v>
      </c>
      <c r="AV5"/>
      <c r="AY5" s="18" t="s">
        <v>25</v>
      </c>
      <c r="AZ5" s="19">
        <v>6</v>
      </c>
      <c r="BA5"/>
      <c r="BB5"/>
      <c r="BC5" s="18" t="s">
        <v>89</v>
      </c>
      <c r="BD5" s="19">
        <v>8</v>
      </c>
      <c r="BE5"/>
      <c r="BF5" s="18" t="s">
        <v>24</v>
      </c>
      <c r="BG5" s="19">
        <v>158</v>
      </c>
      <c r="BH5" s="19">
        <v>102</v>
      </c>
      <c r="BI5" s="19">
        <v>22</v>
      </c>
      <c r="BJ5" s="18" t="s">
        <v>24</v>
      </c>
      <c r="BK5" s="19"/>
      <c r="BM5" s="18" t="s">
        <v>28</v>
      </c>
      <c r="BN5" s="19"/>
      <c r="BO5" s="19"/>
      <c r="BP5" s="19"/>
      <c r="BQ5" s="19"/>
      <c r="BR5" s="19"/>
      <c r="BS5"/>
      <c r="BU5" s="18" t="s">
        <v>90</v>
      </c>
      <c r="BV5" s="19">
        <v>25</v>
      </c>
    </row>
    <row r="6" spans="1:74" ht="15" customHeight="1" thickBot="1" x14ac:dyDescent="0.25">
      <c r="A6" s="29"/>
      <c r="B6" s="30"/>
      <c r="C6" s="29"/>
      <c r="D6" s="33"/>
      <c r="E6" s="33"/>
      <c r="F6" s="30"/>
      <c r="G6" s="29"/>
      <c r="H6" s="33"/>
      <c r="I6" s="33"/>
      <c r="J6" s="30"/>
      <c r="K6" s="29"/>
      <c r="L6" s="30"/>
      <c r="M6" s="13"/>
      <c r="N6" s="13"/>
      <c r="O6" s="14"/>
      <c r="AT6" s="18" t="s">
        <v>18</v>
      </c>
      <c r="AU6" s="19">
        <v>7</v>
      </c>
      <c r="AV6"/>
      <c r="AY6" s="18" t="s">
        <v>28</v>
      </c>
      <c r="AZ6" s="19">
        <v>8</v>
      </c>
      <c r="BA6"/>
      <c r="BB6"/>
      <c r="BC6" s="18" t="s">
        <v>90</v>
      </c>
      <c r="BD6" s="19">
        <v>25</v>
      </c>
      <c r="BE6"/>
      <c r="BF6" s="18" t="s">
        <v>21</v>
      </c>
      <c r="BG6" s="19"/>
      <c r="BH6" s="19"/>
      <c r="BI6" s="19"/>
      <c r="BJ6" s="18" t="s">
        <v>21</v>
      </c>
      <c r="BK6" s="19"/>
      <c r="BM6" s="18" t="s">
        <v>24</v>
      </c>
      <c r="BN6" s="19"/>
      <c r="BO6" s="19"/>
      <c r="BP6" s="19"/>
      <c r="BQ6" s="19"/>
      <c r="BR6" s="19"/>
      <c r="BS6"/>
      <c r="BU6"/>
      <c r="BV6"/>
    </row>
    <row r="7" spans="1:74" ht="15" customHeight="1" thickTop="1" x14ac:dyDescent="0.2">
      <c r="A7" s="25" t="str">
        <f>Data!AO5 &amp;  CHAR(10)  &amp;  Data!AP5</f>
        <v>Resignations
3</v>
      </c>
      <c r="B7" s="26"/>
      <c r="C7" s="25" t="str">
        <f>Data!AO8 &amp;  CHAR(10)  &amp;  Data!AP8</f>
        <v>Work Permit Data
22</v>
      </c>
      <c r="D7" s="31"/>
      <c r="E7" s="31"/>
      <c r="F7" s="26"/>
      <c r="G7" s="25" t="str">
        <f>Data!AO2 &amp;  CHAR(10)  &amp;  Data!AP2</f>
        <v>Open Positions
158</v>
      </c>
      <c r="H7" s="31"/>
      <c r="I7" s="31"/>
      <c r="J7" s="26"/>
      <c r="K7" s="25" t="str">
        <f>Data!AO3 &amp;  CHAR(10)  &amp;  Data!AP3</f>
        <v>Filled Positions
102</v>
      </c>
      <c r="L7" s="26"/>
      <c r="O7" s="5"/>
      <c r="AT7" s="18" t="s">
        <v>59</v>
      </c>
      <c r="AU7" s="19">
        <v>3</v>
      </c>
      <c r="AV7"/>
      <c r="AY7" s="18" t="s">
        <v>24</v>
      </c>
      <c r="AZ7" s="19"/>
      <c r="BA7"/>
      <c r="BB7"/>
      <c r="BC7"/>
      <c r="BD7"/>
      <c r="BE7"/>
      <c r="BF7" s="18" t="s">
        <v>89</v>
      </c>
      <c r="BG7" s="19"/>
      <c r="BH7" s="19"/>
      <c r="BI7" s="19"/>
      <c r="BJ7" s="18" t="s">
        <v>89</v>
      </c>
      <c r="BK7" s="19"/>
      <c r="BM7" s="18" t="s">
        <v>21</v>
      </c>
      <c r="BN7" s="19"/>
      <c r="BO7" s="19"/>
      <c r="BP7" s="19"/>
      <c r="BQ7" s="19"/>
      <c r="BR7" s="19"/>
      <c r="BS7"/>
      <c r="BU7"/>
      <c r="BV7"/>
    </row>
    <row r="8" spans="1:74" ht="15" customHeight="1" thickBot="1" x14ac:dyDescent="0.25">
      <c r="A8" s="27"/>
      <c r="B8" s="28"/>
      <c r="C8" s="27"/>
      <c r="D8" s="32"/>
      <c r="E8" s="32"/>
      <c r="F8" s="28"/>
      <c r="G8" s="27"/>
      <c r="H8" s="32"/>
      <c r="I8" s="32"/>
      <c r="J8" s="28"/>
      <c r="K8" s="27"/>
      <c r="L8" s="28"/>
      <c r="AT8" s="18" t="s">
        <v>50</v>
      </c>
      <c r="AU8" s="19">
        <v>4</v>
      </c>
      <c r="AV8"/>
      <c r="AY8" s="18" t="s">
        <v>21</v>
      </c>
      <c r="AZ8" s="19">
        <v>3</v>
      </c>
      <c r="BA8"/>
      <c r="BB8"/>
      <c r="BC8"/>
      <c r="BD8"/>
      <c r="BE8"/>
      <c r="BF8" s="18" t="s">
        <v>90</v>
      </c>
      <c r="BG8" s="19">
        <v>158</v>
      </c>
      <c r="BH8" s="19">
        <v>102</v>
      </c>
      <c r="BI8" s="19">
        <v>22</v>
      </c>
      <c r="BJ8" s="18" t="s">
        <v>90</v>
      </c>
      <c r="BK8" s="19">
        <v>6</v>
      </c>
      <c r="BM8" s="18" t="s">
        <v>89</v>
      </c>
      <c r="BN8" s="19"/>
      <c r="BO8" s="19"/>
      <c r="BP8" s="19"/>
      <c r="BQ8" s="19"/>
      <c r="BR8" s="19"/>
      <c r="BS8"/>
      <c r="BU8"/>
      <c r="BV8"/>
    </row>
    <row r="9" spans="1:74" ht="15" customHeight="1" thickTop="1" x14ac:dyDescent="0.2">
      <c r="A9" s="27"/>
      <c r="B9" s="28"/>
      <c r="C9" s="27"/>
      <c r="D9" s="32"/>
      <c r="E9" s="32"/>
      <c r="F9" s="28"/>
      <c r="G9" s="27"/>
      <c r="H9" s="32"/>
      <c r="I9" s="32"/>
      <c r="J9" s="28"/>
      <c r="K9" s="27"/>
      <c r="L9" s="28"/>
      <c r="O9" s="15"/>
      <c r="AT9" s="18" t="s">
        <v>89</v>
      </c>
      <c r="AU9" s="19"/>
      <c r="AV9"/>
      <c r="AY9" s="18" t="s">
        <v>89</v>
      </c>
      <c r="AZ9" s="19"/>
      <c r="BA9"/>
      <c r="BB9"/>
      <c r="BC9"/>
      <c r="BD9"/>
      <c r="BE9"/>
      <c r="BF9"/>
      <c r="BG9"/>
      <c r="BH9"/>
      <c r="BJ9"/>
      <c r="BK9"/>
      <c r="BM9" s="18" t="s">
        <v>90</v>
      </c>
      <c r="BN9" s="19">
        <v>3</v>
      </c>
      <c r="BO9" s="19">
        <v>3</v>
      </c>
      <c r="BP9" s="19">
        <v>8</v>
      </c>
      <c r="BQ9" s="19"/>
      <c r="BR9" s="19">
        <v>14</v>
      </c>
      <c r="BS9"/>
      <c r="BU9"/>
      <c r="BV9"/>
    </row>
    <row r="10" spans="1:74" ht="15" customHeight="1" thickBot="1" x14ac:dyDescent="0.25">
      <c r="A10" s="29"/>
      <c r="B10" s="30"/>
      <c r="C10" s="29"/>
      <c r="D10" s="33"/>
      <c r="E10" s="33"/>
      <c r="F10" s="30"/>
      <c r="G10" s="29"/>
      <c r="H10" s="33"/>
      <c r="I10" s="33"/>
      <c r="J10" s="30"/>
      <c r="K10" s="29"/>
      <c r="L10" s="30"/>
      <c r="AT10" s="18" t="s">
        <v>90</v>
      </c>
      <c r="AU10" s="19">
        <v>25</v>
      </c>
      <c r="AV10"/>
      <c r="AY10" s="18" t="s">
        <v>90</v>
      </c>
      <c r="AZ10" s="19">
        <v>25</v>
      </c>
      <c r="BA10"/>
      <c r="BC10"/>
      <c r="BD10"/>
      <c r="BE10"/>
      <c r="BF10"/>
      <c r="BG10"/>
      <c r="BH10"/>
      <c r="BJ10"/>
      <c r="BK10"/>
      <c r="BU10"/>
      <c r="BV10"/>
    </row>
    <row r="11" spans="1:74" ht="15.75" thickTop="1" thickBot="1" x14ac:dyDescent="0.25">
      <c r="C11" s="6"/>
      <c r="AT11"/>
      <c r="AU11"/>
      <c r="AV11"/>
      <c r="AY11"/>
      <c r="AZ11"/>
      <c r="BA11"/>
      <c r="BC11"/>
      <c r="BD11"/>
      <c r="BE11"/>
      <c r="BF11"/>
      <c r="BG11"/>
      <c r="BH11"/>
      <c r="BJ11"/>
      <c r="BK11"/>
      <c r="BU11"/>
      <c r="BV11"/>
    </row>
    <row r="12" spans="1:74" ht="15" thickTop="1" x14ac:dyDescent="0.2">
      <c r="A12"/>
      <c r="AT12"/>
      <c r="AU12"/>
      <c r="AV12"/>
      <c r="AY12"/>
      <c r="AZ12"/>
      <c r="BA12"/>
      <c r="BC12"/>
      <c r="BD12"/>
      <c r="BE12"/>
      <c r="BF12"/>
      <c r="BG12"/>
      <c r="BH12"/>
      <c r="BJ12"/>
      <c r="BK12"/>
      <c r="BU12"/>
      <c r="BV12"/>
    </row>
    <row r="13" spans="1:74" x14ac:dyDescent="0.2">
      <c r="AT13"/>
      <c r="AU13"/>
      <c r="AV13"/>
      <c r="AY13"/>
      <c r="AZ13"/>
      <c r="BA13"/>
      <c r="BC13"/>
      <c r="BD13"/>
      <c r="BE13"/>
      <c r="BF13"/>
      <c r="BG13"/>
      <c r="BH13"/>
      <c r="BJ13"/>
      <c r="BU13"/>
      <c r="BV13"/>
    </row>
    <row r="14" spans="1:74" ht="15" thickBot="1" x14ac:dyDescent="0.25">
      <c r="D14" s="6"/>
      <c r="AT14"/>
      <c r="AU14"/>
      <c r="AV14"/>
      <c r="AY14"/>
      <c r="AZ14"/>
      <c r="BA14"/>
      <c r="BC14"/>
      <c r="BD14"/>
      <c r="BE14"/>
      <c r="BF14"/>
      <c r="BG14"/>
      <c r="BH14"/>
      <c r="BJ14"/>
      <c r="BU14"/>
      <c r="BV14"/>
    </row>
    <row r="15" spans="1:74" ht="15" thickTop="1" x14ac:dyDescent="0.2">
      <c r="AT15"/>
      <c r="AU15"/>
      <c r="AV15"/>
      <c r="AY15"/>
      <c r="AZ15"/>
      <c r="BA15"/>
      <c r="BC15"/>
      <c r="BD15"/>
      <c r="BE15"/>
      <c r="BF15"/>
      <c r="BG15"/>
      <c r="BH15"/>
      <c r="BJ15"/>
      <c r="BU15"/>
      <c r="BV15"/>
    </row>
    <row r="16" spans="1:74" x14ac:dyDescent="0.2">
      <c r="AT16"/>
      <c r="AU16"/>
      <c r="AV16"/>
      <c r="AY16"/>
      <c r="AZ16"/>
      <c r="BA16"/>
      <c r="BC16"/>
      <c r="BD16"/>
      <c r="BE16"/>
      <c r="BF16"/>
      <c r="BG16"/>
      <c r="BJ16"/>
      <c r="BU16"/>
      <c r="BV16"/>
    </row>
    <row r="17" spans="46:74" x14ac:dyDescent="0.2">
      <c r="AT17"/>
      <c r="AU17"/>
      <c r="AV17"/>
      <c r="AY17"/>
      <c r="AZ17"/>
      <c r="BA17"/>
      <c r="BC17"/>
      <c r="BD17"/>
      <c r="BE17"/>
      <c r="BF17"/>
      <c r="BG17"/>
      <c r="BJ17"/>
      <c r="BU17"/>
      <c r="BV17"/>
    </row>
    <row r="18" spans="46:74" x14ac:dyDescent="0.2">
      <c r="AT18"/>
      <c r="AU18"/>
      <c r="AV18"/>
      <c r="AY18"/>
      <c r="AZ18"/>
      <c r="BA18"/>
      <c r="BC18"/>
      <c r="BD18"/>
      <c r="BE18"/>
      <c r="BF18"/>
      <c r="BG18"/>
      <c r="BJ18"/>
      <c r="BU18"/>
      <c r="BV18"/>
    </row>
    <row r="19" spans="46:74" x14ac:dyDescent="0.2">
      <c r="AY19"/>
      <c r="BC19"/>
      <c r="BD19"/>
      <c r="BF19"/>
      <c r="BG19"/>
      <c r="BJ19"/>
      <c r="BU19"/>
      <c r="BV19"/>
    </row>
    <row r="20" spans="46:74" x14ac:dyDescent="0.2">
      <c r="AY20"/>
      <c r="BC20"/>
      <c r="BD20"/>
      <c r="BF20"/>
      <c r="BG20"/>
      <c r="BJ20"/>
      <c r="BU20"/>
      <c r="BV20"/>
    </row>
    <row r="21" spans="46:74" x14ac:dyDescent="0.2">
      <c r="AY21"/>
      <c r="BF21"/>
      <c r="BG21"/>
      <c r="BU21"/>
      <c r="BV21"/>
    </row>
    <row r="22" spans="46:74" x14ac:dyDescent="0.2">
      <c r="AY22"/>
      <c r="BF22"/>
      <c r="BG22"/>
      <c r="BU22"/>
      <c r="BV22"/>
    </row>
    <row r="23" spans="46:74" x14ac:dyDescent="0.2">
      <c r="AY23"/>
      <c r="BF23"/>
      <c r="BG23"/>
      <c r="BU23"/>
      <c r="BV23"/>
    </row>
    <row r="24" spans="46:74" x14ac:dyDescent="0.2">
      <c r="AY24"/>
      <c r="BF24"/>
      <c r="BG24"/>
      <c r="BU24"/>
      <c r="BV24"/>
    </row>
    <row r="25" spans="46:74" x14ac:dyDescent="0.2">
      <c r="AY25"/>
      <c r="BF25"/>
      <c r="BG25"/>
      <c r="BU25"/>
      <c r="BV25"/>
    </row>
    <row r="26" spans="46:74" x14ac:dyDescent="0.2">
      <c r="AY26"/>
      <c r="BF26"/>
      <c r="BG26"/>
      <c r="BU26"/>
      <c r="BV26"/>
    </row>
    <row r="27" spans="46:74" x14ac:dyDescent="0.2">
      <c r="AY27"/>
      <c r="BF27"/>
      <c r="BG27"/>
      <c r="BU27"/>
      <c r="BV27"/>
    </row>
    <row r="28" spans="46:74" x14ac:dyDescent="0.2">
      <c r="AY28"/>
      <c r="BF28"/>
      <c r="BG28"/>
      <c r="BU28"/>
      <c r="BV28"/>
    </row>
    <row r="29" spans="46:74" x14ac:dyDescent="0.2">
      <c r="AY29"/>
      <c r="BF29"/>
      <c r="BG29"/>
      <c r="BU29"/>
      <c r="BV29"/>
    </row>
    <row r="30" spans="46:74" x14ac:dyDescent="0.2">
      <c r="AY30"/>
      <c r="BF30"/>
      <c r="BG30"/>
      <c r="BU30"/>
      <c r="BV30"/>
    </row>
    <row r="31" spans="46:74" x14ac:dyDescent="0.2">
      <c r="AY31"/>
      <c r="BF31"/>
      <c r="BG31"/>
      <c r="BU31"/>
      <c r="BV31"/>
    </row>
    <row r="32" spans="46:74" x14ac:dyDescent="0.2">
      <c r="AY32"/>
      <c r="BF32"/>
      <c r="BG32"/>
      <c r="BU32"/>
      <c r="BV32"/>
    </row>
    <row r="33" spans="51:59" x14ac:dyDescent="0.2">
      <c r="AY33"/>
      <c r="BF33"/>
      <c r="BG33"/>
    </row>
    <row r="34" spans="51:59" x14ac:dyDescent="0.2">
      <c r="AY34"/>
      <c r="BF34"/>
      <c r="BG34"/>
    </row>
    <row r="35" spans="51:59" x14ac:dyDescent="0.2">
      <c r="AY35"/>
      <c r="BF35"/>
      <c r="BG35"/>
    </row>
    <row r="36" spans="51:59" x14ac:dyDescent="0.2">
      <c r="BF36"/>
      <c r="BG36"/>
    </row>
    <row r="37" spans="51:59" x14ac:dyDescent="0.2">
      <c r="BF37"/>
      <c r="BG37"/>
    </row>
    <row r="38" spans="51:59" x14ac:dyDescent="0.2">
      <c r="BF38"/>
      <c r="BG38"/>
    </row>
    <row r="39" spans="51:59" x14ac:dyDescent="0.2">
      <c r="BF39"/>
      <c r="BG39"/>
    </row>
    <row r="40" spans="51:59" x14ac:dyDescent="0.2">
      <c r="BF40"/>
      <c r="BG40"/>
    </row>
    <row r="41" spans="51:59" x14ac:dyDescent="0.2">
      <c r="BF41"/>
      <c r="BG41"/>
    </row>
  </sheetData>
  <mergeCells count="9">
    <mergeCell ref="K7:L10"/>
    <mergeCell ref="A7:B10"/>
    <mergeCell ref="G3:J6"/>
    <mergeCell ref="C3:F6"/>
    <mergeCell ref="C7:F10"/>
    <mergeCell ref="G7:J10"/>
    <mergeCell ref="A1:L2"/>
    <mergeCell ref="K3:L6"/>
    <mergeCell ref="A3:B6"/>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Wajahat</dc:creator>
  <cp:lastModifiedBy>Wajahat</cp:lastModifiedBy>
  <dcterms:created xsi:type="dcterms:W3CDTF">2026-04-22T11:39:01Z</dcterms:created>
  <dcterms:modified xsi:type="dcterms:W3CDTF">2026-04-26T13:59:22Z</dcterms:modified>
</cp:coreProperties>
</file>